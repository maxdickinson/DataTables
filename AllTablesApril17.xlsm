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 defaultThemeVersion="202300"/>
  <mc:AlternateContent xmlns:mc="http://schemas.openxmlformats.org/markup-compatibility/2006">
    <mc:Choice Requires="x15">
      <x15ac:absPath xmlns:x15ac="http://schemas.microsoft.com/office/spreadsheetml/2010/11/ac" url="D:\BirdBoxTreats\DataTables\"/>
    </mc:Choice>
  </mc:AlternateContent>
  <xr:revisionPtr revIDLastSave="0" documentId="13_ncr:1_{E8FED1E6-755C-4AE1-8C91-372D8A7EE44C}" xr6:coauthVersionLast="47" xr6:coauthVersionMax="47" xr10:uidLastSave="{00000000-0000-0000-0000-000000000000}"/>
  <bookViews>
    <workbookView xWindow="-120" yWindow="-120" windowWidth="29040" windowHeight="15840" tabRatio="681" xr2:uid="{00000000-000D-0000-FFFF-FFFF00000000}"/>
  </bookViews>
  <sheets>
    <sheet name="RecXIngred" sheetId="1" r:id="rId1"/>
    <sheet name="IngredXNut" sheetId="2" r:id="rId2"/>
    <sheet name="CostXIngred" sheetId="7" r:id="rId3"/>
    <sheet name="CostXRecipe" sheetId="8" r:id="rId4"/>
    <sheet name="RecXNut(Derived)" sheetId="3" r:id="rId5"/>
    <sheet name="RecXNut3rd" sheetId="4" r:id="rId6"/>
    <sheet name="RecXNut4ths(ImproveUpdating)" sheetId="5" r:id="rId7"/>
    <sheet name="RecXNut5ths" sheetId="6" r:id="rId8"/>
  </sheets>
  <definedNames>
    <definedName name="_xlpm.AD2row" hidden="1" xlm="1">#NAME?</definedName>
    <definedName name="_xlpm.cell" hidden="1" xlm="1">#NAME?</definedName>
    <definedName name="_xlpm.r" hidden="1" xlm="1">#NAME?</definedName>
    <definedName name="_xlpm.ro" hidden="1" xlm="1">#NAME?</definedName>
    <definedName name="_xlpm.row" hidden="1" xlm="1">#NAME?</definedName>
    <definedName name="_xlpm.rowow" hidden="1" xlm="1">#NAME?</definedName>
    <definedName name="_xlpm.rowrow" hidden="1" xlm="1">#NAME?</definedName>
    <definedName name="_xlpm.roww" hidden="1" xlm="1">#NAME?</definedName>
    <definedName name="_xlpm.x" hidden="1" xlm="1">#NAME?</definedName>
    <definedName name="_xlpm.y" hidden="1" xlm="1">#NAME?</definedName>
    <definedName name="DIFFERENCE">_xlfn.LAMBDA(_xlpm.x,_xlpm.y,_xlpm.x-_xlpm.y)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 a="1"/>
  <c r="B2" i="4" s="1"/>
  <c r="B2" i="3" a="1"/>
  <c r="B2" i="3" s="1"/>
  <c r="R63" i="2"/>
  <c r="Q63" i="2"/>
  <c r="P63" i="2"/>
  <c r="D63" i="2"/>
  <c r="C63" i="2"/>
  <c r="BM2" i="1" a="1"/>
  <c r="BM2" i="1" s="1"/>
  <c r="Y12" i="7" a="1"/>
  <c r="Y12" i="7" s="1"/>
  <c r="Y10" i="7" a="1"/>
  <c r="Y10" i="7" s="1"/>
  <c r="X3" i="7"/>
  <c r="X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X31" i="7"/>
  <c r="X32" i="7"/>
  <c r="X33" i="7"/>
  <c r="X34" i="7"/>
  <c r="X35" i="7"/>
  <c r="X36" i="7"/>
  <c r="X37" i="7"/>
  <c r="X38" i="7"/>
  <c r="X39" i="7"/>
  <c r="X40" i="7"/>
  <c r="X41" i="7"/>
  <c r="X42" i="7"/>
  <c r="X43" i="7"/>
  <c r="X44" i="7"/>
  <c r="X45" i="7"/>
  <c r="X46" i="7"/>
  <c r="X47" i="7"/>
  <c r="X48" i="7"/>
  <c r="X49" i="7"/>
  <c r="X50" i="7"/>
  <c r="X51" i="7"/>
  <c r="X52" i="7"/>
  <c r="X53" i="7"/>
  <c r="X54" i="7"/>
  <c r="X55" i="7"/>
  <c r="X56" i="7"/>
  <c r="X57" i="7"/>
  <c r="X58" i="7"/>
  <c r="X59" i="7"/>
  <c r="X60" i="7"/>
  <c r="X61" i="7"/>
  <c r="X62" i="7"/>
  <c r="X63" i="7"/>
  <c r="X64" i="7"/>
  <c r="X65" i="7"/>
  <c r="X66" i="7"/>
  <c r="X67" i="7"/>
  <c r="X2" i="7"/>
  <c r="V2" i="7" a="1"/>
  <c r="V2" i="7" s="1"/>
  <c r="W2" i="7" a="1"/>
  <c r="W2" i="7" s="1"/>
  <c r="T67" i="7"/>
  <c r="S67" i="7"/>
  <c r="R67" i="7"/>
  <c r="Q67" i="7"/>
  <c r="P67" i="7"/>
  <c r="O67" i="7"/>
  <c r="T66" i="7"/>
  <c r="S66" i="7"/>
  <c r="R66" i="7"/>
  <c r="Q66" i="7"/>
  <c r="P66" i="7"/>
  <c r="O66" i="7"/>
  <c r="T65" i="7"/>
  <c r="S65" i="7"/>
  <c r="R65" i="7"/>
  <c r="Q65" i="7"/>
  <c r="P65" i="7"/>
  <c r="O65" i="7"/>
  <c r="T64" i="7"/>
  <c r="S64" i="7"/>
  <c r="R64" i="7"/>
  <c r="Q64" i="7"/>
  <c r="P64" i="7"/>
  <c r="O64" i="7"/>
  <c r="T63" i="7"/>
  <c r="S63" i="7"/>
  <c r="R63" i="7"/>
  <c r="Q63" i="7"/>
  <c r="P63" i="7"/>
  <c r="O63" i="7"/>
  <c r="T62" i="7"/>
  <c r="S62" i="7"/>
  <c r="R62" i="7"/>
  <c r="Q62" i="7"/>
  <c r="P62" i="7"/>
  <c r="O62" i="7"/>
  <c r="T61" i="7"/>
  <c r="S61" i="7"/>
  <c r="R61" i="7"/>
  <c r="Q61" i="7"/>
  <c r="P61" i="7"/>
  <c r="O61" i="7"/>
  <c r="T60" i="7"/>
  <c r="S60" i="7"/>
  <c r="R60" i="7"/>
  <c r="Q60" i="7"/>
  <c r="P60" i="7"/>
  <c r="O60" i="7"/>
  <c r="T59" i="7"/>
  <c r="S59" i="7"/>
  <c r="R59" i="7"/>
  <c r="Q59" i="7"/>
  <c r="P59" i="7"/>
  <c r="O59" i="7"/>
  <c r="T58" i="7"/>
  <c r="S58" i="7"/>
  <c r="R58" i="7"/>
  <c r="Q58" i="7"/>
  <c r="P58" i="7"/>
  <c r="O58" i="7"/>
  <c r="T57" i="7"/>
  <c r="S57" i="7"/>
  <c r="R57" i="7"/>
  <c r="Q57" i="7"/>
  <c r="P57" i="7"/>
  <c r="O57" i="7"/>
  <c r="T56" i="7"/>
  <c r="S56" i="7"/>
  <c r="R56" i="7"/>
  <c r="Q56" i="7"/>
  <c r="P56" i="7"/>
  <c r="O56" i="7"/>
  <c r="T55" i="7"/>
  <c r="S55" i="7"/>
  <c r="R55" i="7"/>
  <c r="Q55" i="7"/>
  <c r="P55" i="7"/>
  <c r="O55" i="7"/>
  <c r="T54" i="7"/>
  <c r="S54" i="7"/>
  <c r="R54" i="7"/>
  <c r="Q54" i="7"/>
  <c r="P54" i="7"/>
  <c r="O54" i="7"/>
  <c r="T53" i="7"/>
  <c r="S53" i="7"/>
  <c r="R53" i="7"/>
  <c r="Q53" i="7"/>
  <c r="P53" i="7"/>
  <c r="O53" i="7"/>
  <c r="T52" i="7"/>
  <c r="S52" i="7"/>
  <c r="R52" i="7"/>
  <c r="Q52" i="7"/>
  <c r="P52" i="7"/>
  <c r="O52" i="7"/>
  <c r="T51" i="7"/>
  <c r="S51" i="7"/>
  <c r="R51" i="7"/>
  <c r="Q51" i="7"/>
  <c r="P51" i="7"/>
  <c r="O51" i="7"/>
  <c r="T50" i="7"/>
  <c r="S50" i="7"/>
  <c r="R50" i="7"/>
  <c r="Q50" i="7"/>
  <c r="P50" i="7"/>
  <c r="O50" i="7"/>
  <c r="T49" i="7"/>
  <c r="S49" i="7"/>
  <c r="R49" i="7"/>
  <c r="Q49" i="7"/>
  <c r="P49" i="7"/>
  <c r="O49" i="7"/>
  <c r="T48" i="7"/>
  <c r="S48" i="7"/>
  <c r="R48" i="7"/>
  <c r="Q48" i="7"/>
  <c r="P48" i="7"/>
  <c r="O48" i="7"/>
  <c r="T47" i="7"/>
  <c r="S47" i="7"/>
  <c r="R47" i="7"/>
  <c r="Q47" i="7"/>
  <c r="P47" i="7"/>
  <c r="O47" i="7"/>
  <c r="T46" i="7"/>
  <c r="S46" i="7"/>
  <c r="R46" i="7"/>
  <c r="Q46" i="7"/>
  <c r="P46" i="7"/>
  <c r="O46" i="7"/>
  <c r="T45" i="7"/>
  <c r="S45" i="7"/>
  <c r="R45" i="7"/>
  <c r="Q45" i="7"/>
  <c r="P45" i="7"/>
  <c r="O45" i="7"/>
  <c r="T44" i="7"/>
  <c r="S44" i="7"/>
  <c r="R44" i="7"/>
  <c r="Q44" i="7"/>
  <c r="P44" i="7"/>
  <c r="O44" i="7"/>
  <c r="T43" i="7"/>
  <c r="S43" i="7"/>
  <c r="R43" i="7"/>
  <c r="Q43" i="7"/>
  <c r="P43" i="7"/>
  <c r="O43" i="7"/>
  <c r="T42" i="7"/>
  <c r="S42" i="7"/>
  <c r="R42" i="7"/>
  <c r="Q42" i="7"/>
  <c r="P42" i="7"/>
  <c r="O42" i="7"/>
  <c r="T41" i="7"/>
  <c r="S41" i="7"/>
  <c r="R41" i="7"/>
  <c r="Q41" i="7"/>
  <c r="P41" i="7"/>
  <c r="O41" i="7"/>
  <c r="T40" i="7"/>
  <c r="S40" i="7"/>
  <c r="R40" i="7"/>
  <c r="Q40" i="7"/>
  <c r="P40" i="7"/>
  <c r="O40" i="7"/>
  <c r="T39" i="7"/>
  <c r="S39" i="7"/>
  <c r="R39" i="7"/>
  <c r="Q39" i="7"/>
  <c r="P39" i="7"/>
  <c r="O39" i="7"/>
  <c r="T38" i="7"/>
  <c r="S38" i="7"/>
  <c r="R38" i="7"/>
  <c r="Q38" i="7"/>
  <c r="P38" i="7"/>
  <c r="O38" i="7"/>
  <c r="T37" i="7"/>
  <c r="S37" i="7"/>
  <c r="R37" i="7"/>
  <c r="Q37" i="7"/>
  <c r="P37" i="7"/>
  <c r="O37" i="7"/>
  <c r="T36" i="7"/>
  <c r="S36" i="7"/>
  <c r="R36" i="7"/>
  <c r="Q36" i="7"/>
  <c r="P36" i="7"/>
  <c r="O36" i="7"/>
  <c r="T35" i="7"/>
  <c r="S35" i="7"/>
  <c r="R35" i="7"/>
  <c r="Q35" i="7"/>
  <c r="P35" i="7"/>
  <c r="O35" i="7"/>
  <c r="T34" i="7"/>
  <c r="S34" i="7"/>
  <c r="R34" i="7"/>
  <c r="Q34" i="7"/>
  <c r="P34" i="7"/>
  <c r="O34" i="7"/>
  <c r="T33" i="7"/>
  <c r="S33" i="7"/>
  <c r="R33" i="7"/>
  <c r="Q33" i="7"/>
  <c r="P33" i="7"/>
  <c r="O33" i="7"/>
  <c r="T32" i="7"/>
  <c r="S32" i="7"/>
  <c r="R32" i="7"/>
  <c r="Q32" i="7"/>
  <c r="P32" i="7"/>
  <c r="O32" i="7"/>
  <c r="T31" i="7"/>
  <c r="S31" i="7"/>
  <c r="R31" i="7"/>
  <c r="Q31" i="7"/>
  <c r="P31" i="7"/>
  <c r="O31" i="7"/>
  <c r="T30" i="7"/>
  <c r="S30" i="7"/>
  <c r="R30" i="7"/>
  <c r="Q30" i="7"/>
  <c r="P30" i="7"/>
  <c r="O30" i="7"/>
  <c r="T29" i="7"/>
  <c r="S29" i="7"/>
  <c r="R29" i="7"/>
  <c r="Q29" i="7"/>
  <c r="P29" i="7"/>
  <c r="O29" i="7"/>
  <c r="T28" i="7"/>
  <c r="S28" i="7"/>
  <c r="R28" i="7"/>
  <c r="Q28" i="7"/>
  <c r="P28" i="7"/>
  <c r="O28" i="7"/>
  <c r="T27" i="7"/>
  <c r="S27" i="7"/>
  <c r="R27" i="7"/>
  <c r="Q27" i="7"/>
  <c r="P27" i="7"/>
  <c r="O27" i="7"/>
  <c r="T26" i="7"/>
  <c r="S26" i="7"/>
  <c r="R26" i="7"/>
  <c r="Q26" i="7"/>
  <c r="P26" i="7"/>
  <c r="O26" i="7"/>
  <c r="T25" i="7"/>
  <c r="S25" i="7"/>
  <c r="R25" i="7"/>
  <c r="Q25" i="7"/>
  <c r="P25" i="7"/>
  <c r="O25" i="7"/>
  <c r="T24" i="7"/>
  <c r="S24" i="7"/>
  <c r="R24" i="7"/>
  <c r="Q24" i="7"/>
  <c r="P24" i="7"/>
  <c r="O24" i="7"/>
  <c r="T23" i="7"/>
  <c r="S23" i="7"/>
  <c r="R23" i="7"/>
  <c r="Q23" i="7"/>
  <c r="P23" i="7"/>
  <c r="O23" i="7"/>
  <c r="T22" i="7"/>
  <c r="S22" i="7"/>
  <c r="R22" i="7"/>
  <c r="Q22" i="7"/>
  <c r="P22" i="7"/>
  <c r="O22" i="7"/>
  <c r="T21" i="7"/>
  <c r="S21" i="7"/>
  <c r="R21" i="7"/>
  <c r="Q21" i="7"/>
  <c r="P21" i="7"/>
  <c r="O21" i="7"/>
  <c r="T20" i="7"/>
  <c r="S20" i="7"/>
  <c r="R20" i="7"/>
  <c r="Q20" i="7"/>
  <c r="P20" i="7"/>
  <c r="O20" i="7"/>
  <c r="T19" i="7"/>
  <c r="S19" i="7"/>
  <c r="R19" i="7"/>
  <c r="Q19" i="7"/>
  <c r="P19" i="7"/>
  <c r="O19" i="7"/>
  <c r="T18" i="7"/>
  <c r="S18" i="7"/>
  <c r="R18" i="7"/>
  <c r="Q18" i="7"/>
  <c r="P18" i="7"/>
  <c r="O18" i="7"/>
  <c r="T17" i="7"/>
  <c r="S17" i="7"/>
  <c r="R17" i="7"/>
  <c r="Q17" i="7"/>
  <c r="P17" i="7"/>
  <c r="O17" i="7"/>
  <c r="T16" i="7"/>
  <c r="S16" i="7"/>
  <c r="R16" i="7"/>
  <c r="Q16" i="7"/>
  <c r="P16" i="7"/>
  <c r="O16" i="7"/>
  <c r="T15" i="7"/>
  <c r="S15" i="7"/>
  <c r="R15" i="7"/>
  <c r="Q15" i="7"/>
  <c r="P15" i="7"/>
  <c r="O15" i="7"/>
  <c r="T14" i="7"/>
  <c r="S14" i="7"/>
  <c r="R14" i="7"/>
  <c r="Q14" i="7"/>
  <c r="P14" i="7"/>
  <c r="O14" i="7"/>
  <c r="T13" i="7"/>
  <c r="S13" i="7"/>
  <c r="R13" i="7"/>
  <c r="Q13" i="7"/>
  <c r="P13" i="7"/>
  <c r="O13" i="7"/>
  <c r="T12" i="7"/>
  <c r="S12" i="7"/>
  <c r="R12" i="7"/>
  <c r="Q12" i="7"/>
  <c r="P12" i="7"/>
  <c r="O12" i="7"/>
  <c r="E12" i="7"/>
  <c r="T11" i="7"/>
  <c r="S11" i="7"/>
  <c r="R11" i="7"/>
  <c r="Q11" i="7"/>
  <c r="P11" i="7"/>
  <c r="O11" i="7"/>
  <c r="E11" i="7"/>
  <c r="T10" i="7"/>
  <c r="S10" i="7"/>
  <c r="R10" i="7"/>
  <c r="Q10" i="7"/>
  <c r="P10" i="7"/>
  <c r="O10" i="7"/>
  <c r="T9" i="7"/>
  <c r="S9" i="7"/>
  <c r="R9" i="7"/>
  <c r="Q9" i="7"/>
  <c r="P9" i="7"/>
  <c r="O9" i="7"/>
  <c r="T8" i="7"/>
  <c r="S8" i="7"/>
  <c r="R8" i="7"/>
  <c r="Q8" i="7"/>
  <c r="P8" i="7"/>
  <c r="O8" i="7"/>
  <c r="T7" i="7"/>
  <c r="S7" i="7"/>
  <c r="R7" i="7"/>
  <c r="Q7" i="7"/>
  <c r="P7" i="7"/>
  <c r="O7" i="7"/>
  <c r="T6" i="7"/>
  <c r="S6" i="7"/>
  <c r="R6" i="7"/>
  <c r="Q6" i="7"/>
  <c r="P6" i="7"/>
  <c r="O6" i="7"/>
  <c r="T5" i="7"/>
  <c r="S5" i="7"/>
  <c r="R5" i="7"/>
  <c r="Q5" i="7"/>
  <c r="P5" i="7"/>
  <c r="O5" i="7"/>
  <c r="T4" i="7"/>
  <c r="S4" i="7"/>
  <c r="R4" i="7"/>
  <c r="Q4" i="7"/>
  <c r="P4" i="7"/>
  <c r="O4" i="7"/>
  <c r="T3" i="7"/>
  <c r="S3" i="7"/>
  <c r="R3" i="7"/>
  <c r="Q3" i="7"/>
  <c r="P3" i="7"/>
  <c r="O3" i="7"/>
  <c r="T2" i="7"/>
  <c r="S2" i="7"/>
  <c r="R2" i="7"/>
  <c r="Q2" i="7"/>
  <c r="P2" i="7"/>
  <c r="O2" i="7"/>
  <c r="E2" i="7"/>
  <c r="B2" i="6" a="1"/>
  <c r="B2" i="6" s="1"/>
  <c r="B2" i="5" a="1"/>
  <c r="B2" i="5" s="1"/>
  <c r="Y5" i="7" a="1"/>
  <c r="Y2" i="7" a="1"/>
  <c r="Y5" i="7" l="1"/>
  <c r="Y2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<sst xmlns="http://schemas.openxmlformats.org/spreadsheetml/2006/main" count="727" uniqueCount="215">
  <si>
    <t>bobsRedMillwholeWheatPastryFlour</t>
  </si>
  <si>
    <t>bobsRedMillwholeWheaFlour</t>
  </si>
  <si>
    <t>allPuroseFlour</t>
  </si>
  <si>
    <t>AlmondFlour</t>
  </si>
  <si>
    <t>Oatmeal</t>
  </si>
  <si>
    <t>cocoaPowder</t>
  </si>
  <si>
    <t>wincoWholeWheatPastryFlour</t>
  </si>
  <si>
    <t>cakeFlour</t>
  </si>
  <si>
    <t>bobsRedMIllPastryFlour</t>
  </si>
  <si>
    <t>PeaProteinPowder</t>
  </si>
  <si>
    <t>soyProteinPowder</t>
  </si>
  <si>
    <t>brownRiceProteinPowder</t>
  </si>
  <si>
    <t>wheyAndCaseinProteinPowder</t>
  </si>
  <si>
    <t>bakingSoda(teaspoons)</t>
  </si>
  <si>
    <t>bakingPowder(teaspoons)</t>
  </si>
  <si>
    <t>cinamon(teaspoons)</t>
  </si>
  <si>
    <t>nutmeg(teaspoons)</t>
  </si>
  <si>
    <t>cloves(teaspoons)</t>
  </si>
  <si>
    <t>ginger(teaspoons)</t>
  </si>
  <si>
    <t>cardamom(teaspoons)</t>
  </si>
  <si>
    <t>xanthamGum(teaspoons)</t>
  </si>
  <si>
    <t>Salt(teaspoons)</t>
  </si>
  <si>
    <t>guarGuam(teaspoons)</t>
  </si>
  <si>
    <t>cornStarch(teaspoons)</t>
  </si>
  <si>
    <t>vanillaExtract(teaspoons)</t>
  </si>
  <si>
    <t>Almond Extract(teaspoons)</t>
  </si>
  <si>
    <t>naturesFlavorsButterExtract(teaspoons)</t>
  </si>
  <si>
    <t>espressoPowder(teaspoons)</t>
  </si>
  <si>
    <t>bobsRedMillEggReplacer</t>
  </si>
  <si>
    <t>flaxMeal</t>
  </si>
  <si>
    <t>water</t>
  </si>
  <si>
    <t>chiaSeeds</t>
  </si>
  <si>
    <t>ErythritlInWater</t>
  </si>
  <si>
    <t>splendaInWater</t>
  </si>
  <si>
    <t>whiteSugar</t>
  </si>
  <si>
    <t>Powdered Erythritol</t>
  </si>
  <si>
    <t>lightBrownSugar</t>
  </si>
  <si>
    <t>darkBrownSugar</t>
  </si>
  <si>
    <t>erythritol</t>
  </si>
  <si>
    <t>xylitol</t>
  </si>
  <si>
    <t>splendaSucralose</t>
  </si>
  <si>
    <t>monkFruitAndAllulose</t>
  </si>
  <si>
    <t>allulose</t>
  </si>
  <si>
    <t>wincoMonkFruitAndErythritol</t>
  </si>
  <si>
    <t>bulk suplements monk fruit extract</t>
  </si>
  <si>
    <t>inulin</t>
  </si>
  <si>
    <t>coconutOil</t>
  </si>
  <si>
    <t>vegtableOil</t>
  </si>
  <si>
    <t>canolaOil</t>
  </si>
  <si>
    <t>earthBalanceButter</t>
  </si>
  <si>
    <t>aquafabaButter</t>
  </si>
  <si>
    <t xml:space="preserve">VeganBUTTER From Coco OOL, canolaoil, rapseedoil,nutritionalyeast </t>
  </si>
  <si>
    <t>Vegan Butter with AppleCider,yeast</t>
  </si>
  <si>
    <t>Peanut Butter Powder</t>
  </si>
  <si>
    <t>water for Peanut Butter Powder</t>
  </si>
  <si>
    <t xml:space="preserve">mollasses </t>
  </si>
  <si>
    <t>Chocolate Chips</t>
  </si>
  <si>
    <t>sunflower butter</t>
  </si>
  <si>
    <t>peanut butter</t>
  </si>
  <si>
    <t>dried blueberrries</t>
  </si>
  <si>
    <t>April 3 #2 CHocolate</t>
  </si>
  <si>
    <t>April 3 #1 choco base</t>
  </si>
  <si>
    <t>April 2 # 2 Sugar</t>
  </si>
  <si>
    <t>April 2 #1 Sugar</t>
  </si>
  <si>
    <t>April 1 #1 Choco CHip base</t>
  </si>
  <si>
    <t>March 31 #2 Oatmeal Raisin</t>
  </si>
  <si>
    <t>March 31 Oatmeal Raisin</t>
  </si>
  <si>
    <t>March 30 protein oatmeal #1</t>
  </si>
  <si>
    <t>March 30 protein oatmeal #2</t>
  </si>
  <si>
    <t>March 29 protein oatmeal</t>
  </si>
  <si>
    <t>March 29 protein Sugar</t>
  </si>
  <si>
    <t xml:space="preserve">March 28 Trad  Sugar </t>
  </si>
  <si>
    <t xml:space="preserve">March 28 Proetin PB </t>
  </si>
  <si>
    <t>March27  Protein   Sugar</t>
  </si>
  <si>
    <t>March 27 protein PB</t>
  </si>
  <si>
    <t>March 26 Trad  pb</t>
  </si>
  <si>
    <t xml:space="preserve">March 26 Proetin pb </t>
  </si>
  <si>
    <t>March25trda   Sugar</t>
  </si>
  <si>
    <t>March 25 protein Sugar</t>
  </si>
  <si>
    <t xml:space="preserve">March 24 Trad  Sugar </t>
  </si>
  <si>
    <t xml:space="preserve">March 24 ProetinSugar </t>
  </si>
  <si>
    <t xml:space="preserve">March 23 Trad  Sugar </t>
  </si>
  <si>
    <t xml:space="preserve">March 23 ProetinSugar </t>
  </si>
  <si>
    <t xml:space="preserve">March 22 Trad  Sugar </t>
  </si>
  <si>
    <t xml:space="preserve">March 22 ProetinSugar </t>
  </si>
  <si>
    <t>March 21 Trad  Choco</t>
  </si>
  <si>
    <t xml:space="preserve">March 21 Proetin Choco </t>
  </si>
  <si>
    <t>March 20 Trad   Choco</t>
  </si>
  <si>
    <t>March 20 Proetin  Choco</t>
  </si>
  <si>
    <t>March 19 Trad   Choco</t>
  </si>
  <si>
    <t>March 19 Proetin  Choco</t>
  </si>
  <si>
    <t>march 18 Trad Choco</t>
  </si>
  <si>
    <t>March 18 Protein Choco</t>
  </si>
  <si>
    <t>march 17 Trad Choco</t>
  </si>
  <si>
    <t>March 17  Protein Choco</t>
  </si>
  <si>
    <t>march 16 Trad Choco</t>
  </si>
  <si>
    <t>March 16  Protein Choco</t>
  </si>
  <si>
    <t>march 15 Traditional ChipChco</t>
  </si>
  <si>
    <t>march 15 Protein ChipChco</t>
  </si>
  <si>
    <t>march 14 Traditional ChipChco</t>
  </si>
  <si>
    <t>march 14 Protein ChipChco</t>
  </si>
  <si>
    <t>march 13 Traditional ChipChco</t>
  </si>
  <si>
    <t>march 13 Protein ChipChco</t>
  </si>
  <si>
    <t>march 12 Traditional ChipChco</t>
  </si>
  <si>
    <t>march 12 Protein ChipChco</t>
  </si>
  <si>
    <t>march 11 Traditional ChipChco</t>
  </si>
  <si>
    <t>march 11 Protein ChipChco</t>
  </si>
  <si>
    <t>march 9 Traditional ChipChco</t>
  </si>
  <si>
    <t>march 9 Protein ChipChco</t>
  </si>
  <si>
    <t>march 7 Traditional ChipChco</t>
  </si>
  <si>
    <t>march 7 Protein ChipChco</t>
  </si>
  <si>
    <t>march 6 Traditional ChipChco</t>
  </si>
  <si>
    <t>march 6 Protein ChipChco</t>
  </si>
  <si>
    <t>march 5 Traditional ChipChco</t>
  </si>
  <si>
    <t>march 5 Protein ChipChco</t>
  </si>
  <si>
    <t>march 4 Protein cookie</t>
  </si>
  <si>
    <t>march 2 Traditional ChipChco</t>
  </si>
  <si>
    <t>march 2 Protein ChipChco</t>
  </si>
  <si>
    <t>march 1 protein</t>
  </si>
  <si>
    <t>february 29 traditional</t>
  </si>
  <si>
    <t>February 28 traditional</t>
  </si>
  <si>
    <t>Soy Lecithin</t>
  </si>
  <si>
    <t>ingredients</t>
  </si>
  <si>
    <t>Serving Size (grams)</t>
  </si>
  <si>
    <t>Total Fat</t>
  </si>
  <si>
    <t>Saturated Fat</t>
  </si>
  <si>
    <t>Trans Fat</t>
  </si>
  <si>
    <t>MonoUnsaturated Fat</t>
  </si>
  <si>
    <t>PolyUnsaturated Fat</t>
  </si>
  <si>
    <t>Cholesterol (mg)</t>
  </si>
  <si>
    <t xml:space="preserve">Sodium (mg) </t>
  </si>
  <si>
    <t xml:space="preserve"> Total Carbohydrates</t>
  </si>
  <si>
    <t>Dietary Fiber</t>
  </si>
  <si>
    <t>Total Sugars</t>
  </si>
  <si>
    <t>Added Sugars</t>
  </si>
  <si>
    <t>Protein</t>
  </si>
  <si>
    <t>Vitamin D (mcg )</t>
  </si>
  <si>
    <t xml:space="preserve">Calcium (mg) </t>
  </si>
  <si>
    <t>Iron (mg)</t>
  </si>
  <si>
    <t>Potassium (mg)</t>
  </si>
  <si>
    <t>Thiamin  (mg)</t>
  </si>
  <si>
    <t>Niacin</t>
  </si>
  <si>
    <t>Folate (mcg)</t>
  </si>
  <si>
    <t>Phosphorus (mg)</t>
  </si>
  <si>
    <t>magnessium(mg)</t>
  </si>
  <si>
    <t xml:space="preserve">Soy lecithin </t>
  </si>
  <si>
    <t>April 4th Sugar</t>
  </si>
  <si>
    <t>April 4th Sugar #2</t>
  </si>
  <si>
    <t>April 5th Sugar #1</t>
  </si>
  <si>
    <t>April 5th Sugar #2</t>
  </si>
  <si>
    <t>April 6th Sugar #1</t>
  </si>
  <si>
    <t>April 6th Sugar #2</t>
  </si>
  <si>
    <t>April 6th Sugar #3</t>
  </si>
  <si>
    <t>April 7th #1</t>
  </si>
  <si>
    <t>April 15th Choco Base #1</t>
  </si>
  <si>
    <t>April 16th PB #1</t>
  </si>
  <si>
    <t>April 16th PB #2</t>
  </si>
  <si>
    <t>April 17th PB #1</t>
  </si>
  <si>
    <t>April 17th PB #2</t>
  </si>
  <si>
    <t>Ingredients</t>
  </si>
  <si>
    <t>Albertsons</t>
  </si>
  <si>
    <t>Albertsons2(Ozs)</t>
  </si>
  <si>
    <t xml:space="preserve">Amazon(brand) </t>
  </si>
  <si>
    <t>Amazon(brand) 2Ozs</t>
  </si>
  <si>
    <t>Fred Meyers</t>
  </si>
  <si>
    <t>Fred Meyers2Ozs</t>
  </si>
  <si>
    <t>Winco</t>
  </si>
  <si>
    <t>Winco2Ozs</t>
  </si>
  <si>
    <t>Winco Bulk</t>
  </si>
  <si>
    <t>Winco Bulk2Ozs</t>
  </si>
  <si>
    <t>Trader Joes</t>
  </si>
  <si>
    <t>Trader Joes2Ozs</t>
  </si>
  <si>
    <t>Albertsons2($perOz)</t>
  </si>
  <si>
    <t>Amazon(brand) 2(perOz)</t>
  </si>
  <si>
    <t>Fred Meyers2(perOz)</t>
  </si>
  <si>
    <t>Winco2(perOz)</t>
  </si>
  <si>
    <t>Winco Bulk2(perOz)</t>
  </si>
  <si>
    <t>Trader Joes2(perOz)</t>
  </si>
  <si>
    <t>GoldMedal allPuroseFlour</t>
  </si>
  <si>
    <t xml:space="preserve"> AlmondFlour</t>
  </si>
  <si>
    <t>quakerOats</t>
  </si>
  <si>
    <t>WholeWheatPastryFlour</t>
  </si>
  <si>
    <t>McCormickcinamon(teaspoons)</t>
  </si>
  <si>
    <t>McCormicknutmeg(teaspoons)</t>
  </si>
  <si>
    <t>McCormickcloves(teaspoons)</t>
  </si>
  <si>
    <t>McCormickginger(teaspoons)</t>
  </si>
  <si>
    <t>McCormickcardamom(teaspoons)</t>
  </si>
  <si>
    <t>brm xanthamGum(teaspoons)</t>
  </si>
  <si>
    <t>Lemon Extract(teaspoons)</t>
  </si>
  <si>
    <t>monk fruit extact</t>
  </si>
  <si>
    <t>MonkFruitwithErythritol</t>
  </si>
  <si>
    <t>better body food Coconut Oil</t>
  </si>
  <si>
    <t>Crisco Vegtable Oil</t>
  </si>
  <si>
    <t>house canolaOil</t>
  </si>
  <si>
    <t>Adams Peanut Butter</t>
  </si>
  <si>
    <t>guitardChocolate Chips</t>
  </si>
  <si>
    <t xml:space="preserve"> nutritional yeast</t>
  </si>
  <si>
    <t xml:space="preserve"> organic cane sugar</t>
  </si>
  <si>
    <t>bakers flour</t>
  </si>
  <si>
    <t xml:space="preserve"> premium bakers flour</t>
  </si>
  <si>
    <t>gf bakers flour</t>
  </si>
  <si>
    <t>Lowest</t>
  </si>
  <si>
    <t xml:space="preserve">Highest </t>
  </si>
  <si>
    <t xml:space="preserve">Difference </t>
  </si>
  <si>
    <t>Biggest Difference Store</t>
  </si>
  <si>
    <t>INDIRECT(ADDRESS(1, MATCH(V2:V3, O2:T3, 0) + COLUMN((N2))))</t>
  </si>
  <si>
    <t>start here, maybe I have the byrow and map in the wrong order</t>
  </si>
  <si>
    <t xml:space="preserve">reverse order helper column </t>
  </si>
  <si>
    <t>April 18th #2 PB Prot</t>
  </si>
  <si>
    <t>April 18th #1 Chco Base Trad</t>
  </si>
  <si>
    <t>April 19th choco base Prot #1</t>
  </si>
  <si>
    <t>Coconut Powder</t>
  </si>
  <si>
    <t>plain text nums</t>
  </si>
  <si>
    <t>filler</t>
  </si>
  <si>
    <t>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</si>
</sst>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color rgb="FFFFFFFF"/>
      <name val="Inherit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2" fontId="0" fillId="0" borderId="0" xfId="0" applyNumberFormat="1"/>
    <xf numFmtId="164" fontId="0" fillId="0" borderId="0" xfId="0" applyNumberFormat="1"/>
    <xf numFmtId="2" fontId="16" fillId="0" borderId="10" xfId="0" applyNumberFormat="1" applyFont="1" applyBorder="1"/>
    <xf numFmtId="0" fontId="16" fillId="0" borderId="10" xfId="0" applyFont="1" applyBorder="1"/>
    <xf numFmtId="0" fontId="16" fillId="0" borderId="0" xfId="0" applyFont="1"/>
    <xf numFmtId="165" fontId="0" fillId="0" borderId="0" xfId="0" applyNumberFormat="1"/>
    <xf numFmtId="0" fontId="18" fillId="0" borderId="0" xfId="0" applyFont="1" applyAlignment="1">
      <alignment vertical="center"/>
    </xf>
    <xf numFmtId="1" fontId="0" fillId="0" borderId="0" xfId="0" applyNumberFormat="1"/>
    <xf numFmtId="0" fontId="20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2" formatCode="0.0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2</v>
    <v>19</v>
  </rv>
</rvData>
</file>

<file path=xl/richData/rdrichvaluestructure.xml><?xml version="1.0" encoding="utf-8"?>
<rvStructures xmlns="http://schemas.microsoft.com/office/spreadsheetml/2017/richdata" count="1">
  <s t="_error">
    <k n="argument" t="s"/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488E15-6410-498C-B9A3-4C6AA0D94CEE}" name="Table2" displayName="Table2" ref="A1:M67" totalsRowShown="0">
  <autoFilter ref="A1:M67" xr:uid="{77488E15-6410-498C-B9A3-4C6AA0D94CEE}"/>
  <tableColumns count="13">
    <tableColumn id="1" xr3:uid="{879E00FE-B72A-4833-B168-A11E6F12250C}" name="ingredients" dataDxfId="1"/>
    <tableColumn id="2" xr3:uid="{06C3D582-DC1B-49A0-9FCA-D9FE076E1155}" name="Albertsons" dataDxfId="0"/>
    <tableColumn id="3" xr3:uid="{8EF2FCFC-8B75-4EF4-AC9A-64563CA02739}" name="Albertsons2(Ozs)"/>
    <tableColumn id="4" xr3:uid="{300CB4E2-8164-4C47-A7DF-DDC7B73F8E4D}" name="Amazon(brand) "/>
    <tableColumn id="5" xr3:uid="{995F7D5F-3C39-42CA-833E-1AA2C2F89287}" name="Amazon(brand) 2Ozs"/>
    <tableColumn id="6" xr3:uid="{7550ABBE-0D27-4F15-8DE8-CDD4843DFDB9}" name="Fred Meyers"/>
    <tableColumn id="7" xr3:uid="{31EDD31A-1E28-4ACC-9211-26523A086B67}" name="Fred Meyers2Ozs"/>
    <tableColumn id="8" xr3:uid="{77F70358-7C78-4ED7-BC58-8E58E30560FF}" name="Winco"/>
    <tableColumn id="9" xr3:uid="{30716927-27DD-438E-8C28-31BD0AC3904E}" name="Winco2Ozs"/>
    <tableColumn id="10" xr3:uid="{4F9D4BE2-1412-4ED2-89DE-0B494B1A07BB}" name="Winco Bulk"/>
    <tableColumn id="11" xr3:uid="{99C8014B-27C7-4723-B842-26CF261E7DB1}" name="Winco Bulk2Ozs"/>
    <tableColumn id="12" xr3:uid="{90BC8B6F-BC28-4758-9597-A3FEBD60584F}" name="Trader Joes"/>
    <tableColumn id="13" xr3:uid="{938F09EE-C283-4AE7-98A5-B576FF3E2298}" name="Trader Joes2Oz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M91"/>
  <sheetViews>
    <sheetView tabSelected="1" topLeftCell="AD1" workbookViewId="0">
      <pane ySplit="1" topLeftCell="A2" activePane="bottomLeft" state="frozen"/>
      <selection pane="bottomLeft" activeCell="AL11" sqref="AL11"/>
    </sheetView>
  </sheetViews>
  <sheetFormatPr defaultRowHeight="15"/>
  <cols>
    <col min="1" max="1" width="28.7109375" bestFit="1" customWidth="1"/>
    <col min="2" max="2" width="17.85546875" style="1" customWidth="1"/>
    <col min="3" max="3" width="16.42578125" style="1" customWidth="1"/>
    <col min="4" max="4" width="14.140625" style="1" bestFit="1" customWidth="1"/>
    <col min="5" max="5" width="12.42578125" style="1" bestFit="1" customWidth="1"/>
    <col min="6" max="6" width="8.5703125" style="1" bestFit="1" customWidth="1"/>
    <col min="7" max="7" width="13.140625" style="1" bestFit="1" customWidth="1"/>
    <col min="8" max="8" width="16.28515625" style="1" customWidth="1"/>
    <col min="9" max="9" width="9.7109375" style="1" bestFit="1" customWidth="1"/>
    <col min="10" max="10" width="22.42578125" style="1" bestFit="1" customWidth="1"/>
    <col min="11" max="11" width="17.42578125" style="1" bestFit="1" customWidth="1"/>
    <col min="12" max="12" width="17" style="1" bestFit="1" customWidth="1"/>
    <col min="13" max="13" width="23.5703125" style="1" bestFit="1" customWidth="1"/>
    <col min="14" max="14" width="25" style="1" customWidth="1"/>
    <col min="15" max="15" width="13.140625" style="1" customWidth="1"/>
    <col min="16" max="16" width="15.85546875" style="1" customWidth="1"/>
    <col min="17" max="17" width="10.5703125" style="1" customWidth="1"/>
    <col min="18" max="18" width="10.85546875" style="1" customWidth="1"/>
    <col min="19" max="19" width="9" style="1" customWidth="1"/>
    <col min="20" max="20" width="8.42578125" style="1" customWidth="1"/>
    <col min="21" max="21" width="9.140625" style="1" customWidth="1"/>
    <col min="22" max="22" width="12.7109375" style="1" customWidth="1"/>
    <col min="23" max="23" width="6.5703125" style="1" customWidth="1"/>
    <col min="24" max="24" width="9.85546875" style="1" customWidth="1"/>
    <col min="25" max="26" width="13.7109375" style="1" customWidth="1"/>
    <col min="27" max="27" width="13.85546875" style="1" customWidth="1"/>
    <col min="28" max="28" width="18.7109375" style="1" customWidth="1"/>
    <col min="29" max="29" width="14.7109375" style="1" customWidth="1"/>
    <col min="30" max="30" width="13.85546875" style="1" customWidth="1"/>
    <col min="31" max="31" width="8.42578125" style="1" bestFit="1" customWidth="1"/>
    <col min="32" max="32" width="5.85546875" style="1" bestFit="1" customWidth="1"/>
    <col min="33" max="33" width="10" style="1" bestFit="1" customWidth="1"/>
    <col min="34" max="34" width="10" style="1" customWidth="1"/>
    <col min="35" max="35" width="11.42578125" style="1" customWidth="1"/>
    <col min="36" max="36" width="10.7109375" style="1" bestFit="1" customWidth="1"/>
    <col min="37" max="37" width="15" style="1" customWidth="1"/>
    <col min="38" max="38" width="11.140625" style="1" customWidth="1"/>
    <col min="39" max="39" width="11.5703125" style="1" customWidth="1"/>
    <col min="40" max="40" width="8.85546875" style="1" bestFit="1" customWidth="1"/>
    <col min="41" max="41" width="6.140625" style="1" bestFit="1" customWidth="1"/>
    <col min="42" max="42" width="8.140625" style="1" customWidth="1"/>
    <col min="43" max="43" width="10.42578125" style="1" customWidth="1"/>
    <col min="44" max="44" width="8.140625" style="1" bestFit="1" customWidth="1"/>
    <col min="45" max="45" width="16.140625" style="1" customWidth="1"/>
    <col min="46" max="46" width="13.140625" style="1" customWidth="1"/>
    <col min="47" max="47" width="6.140625" style="1" bestFit="1" customWidth="1"/>
    <col min="48" max="48" width="10.7109375" style="1" bestFit="1" customWidth="1"/>
    <col min="49" max="49" width="10.85546875" style="1" bestFit="1" customWidth="1"/>
    <col min="50" max="50" width="9.7109375" style="1" bestFit="1" customWidth="1"/>
    <col min="51" max="51" width="18.140625" style="1" bestFit="1" customWidth="1"/>
    <col min="52" max="52" width="14.85546875" style="1" bestFit="1" customWidth="1"/>
    <col min="53" max="53" width="13.42578125" style="1" customWidth="1"/>
    <col min="54" max="54" width="12.140625" style="1" customWidth="1"/>
    <col min="55" max="55" width="17.28515625" style="1" customWidth="1"/>
    <col min="56" max="56" width="13.5703125" style="1" customWidth="1"/>
    <col min="57" max="57" width="10.5703125" style="1" bestFit="1" customWidth="1"/>
    <col min="58" max="59" width="15.42578125" style="1" bestFit="1" customWidth="1"/>
    <col min="60" max="60" width="12.7109375" style="1" bestFit="1" customWidth="1"/>
    <col min="61" max="61" width="16.85546875" style="1" bestFit="1" customWidth="1"/>
    <col min="62" max="62" width="11.28515625" style="1" bestFit="1" customWidth="1"/>
    <col min="63" max="63" width="12.28515625" style="1" customWidth="1"/>
    <col min="64" max="64" width="7" customWidth="1"/>
  </cols>
  <sheetData>
    <row r="1" spans="1:65">
      <c r="A1" t="s">
        <v>159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  <c r="Y1" s="1" t="s">
        <v>23</v>
      </c>
      <c r="Z1" s="1" t="s">
        <v>24</v>
      </c>
      <c r="AA1" s="1" t="s">
        <v>25</v>
      </c>
      <c r="AB1" s="1" t="s">
        <v>26</v>
      </c>
      <c r="AC1" s="1" t="s">
        <v>27</v>
      </c>
      <c r="AD1" s="1" t="s">
        <v>28</v>
      </c>
      <c r="AE1" s="1" t="s">
        <v>29</v>
      </c>
      <c r="AF1" s="1" t="s">
        <v>30</v>
      </c>
      <c r="AG1" s="1" t="s">
        <v>31</v>
      </c>
      <c r="AH1" s="1" t="s">
        <v>32</v>
      </c>
      <c r="AI1" s="1" t="s">
        <v>33</v>
      </c>
      <c r="AJ1" s="1" t="s">
        <v>34</v>
      </c>
      <c r="AK1" s="1" t="s">
        <v>35</v>
      </c>
      <c r="AL1" s="1" t="s">
        <v>36</v>
      </c>
      <c r="AM1" s="1" t="s">
        <v>37</v>
      </c>
      <c r="AN1" s="1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1" t="s">
        <v>48</v>
      </c>
      <c r="AY1" s="1" t="s">
        <v>49</v>
      </c>
      <c r="AZ1" s="1" t="s">
        <v>50</v>
      </c>
      <c r="BA1" s="1" t="s">
        <v>51</v>
      </c>
      <c r="BB1" s="1" t="s">
        <v>52</v>
      </c>
      <c r="BC1" s="1" t="s">
        <v>53</v>
      </c>
      <c r="BD1" s="1" t="s">
        <v>54</v>
      </c>
      <c r="BE1" s="1" t="s">
        <v>55</v>
      </c>
      <c r="BF1" s="1" t="s">
        <v>56</v>
      </c>
      <c r="BG1" s="1" t="s">
        <v>57</v>
      </c>
      <c r="BH1" s="1" t="s">
        <v>58</v>
      </c>
      <c r="BI1" s="1" t="s">
        <v>59</v>
      </c>
      <c r="BJ1" s="1" t="s">
        <v>121</v>
      </c>
      <c r="BK1" s="1" t="s">
        <v>211</v>
      </c>
      <c r="BL1" s="1" t="s">
        <v>212</v>
      </c>
      <c r="BM1" t="s">
        <v>207</v>
      </c>
    </row>
    <row r="2" spans="1:65">
      <c r="A2" t="s">
        <v>210</v>
      </c>
      <c r="B2" s="1">
        <v>0</v>
      </c>
      <c r="C2" s="1">
        <v>0</v>
      </c>
      <c r="D2" s="1">
        <v>30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30</v>
      </c>
      <c r="L2" s="1">
        <v>0</v>
      </c>
      <c r="M2" s="1">
        <v>0</v>
      </c>
      <c r="N2" s="1">
        <v>0</v>
      </c>
      <c r="O2" s="1">
        <v>0.25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0.125</v>
      </c>
      <c r="W2" s="1">
        <v>0.125</v>
      </c>
      <c r="X2" s="1">
        <v>0</v>
      </c>
      <c r="Y2" s="1">
        <v>0</v>
      </c>
      <c r="Z2" s="1">
        <v>0.25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25</v>
      </c>
      <c r="AG2" s="1">
        <v>0</v>
      </c>
      <c r="AH2" s="1">
        <v>0</v>
      </c>
      <c r="AI2" s="1">
        <v>0</v>
      </c>
      <c r="AJ2" s="1">
        <v>0</v>
      </c>
      <c r="AK2" s="1">
        <v>40</v>
      </c>
      <c r="AL2" s="1">
        <v>18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17</v>
      </c>
      <c r="AS2" s="1">
        <v>0</v>
      </c>
      <c r="AT2" s="1">
        <v>0</v>
      </c>
      <c r="AU2" s="1">
        <v>10</v>
      </c>
      <c r="AV2" s="1">
        <v>12</v>
      </c>
      <c r="AW2" s="1">
        <v>17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0.125</v>
      </c>
      <c r="BK2" s="1">
        <v>0.25</v>
      </c>
      <c r="BL2">
        <v>3</v>
      </c>
      <c r="BM2" cm="1">
        <f t="array" ref="BM2:BM79">_xlfn.SEQUENCE(78, 1,2,1 )</f>
        <v>2</v>
      </c>
    </row>
    <row r="3" spans="1:65">
      <c r="A3" t="s">
        <v>208</v>
      </c>
      <c r="B3" s="1">
        <v>0</v>
      </c>
      <c r="C3" s="1">
        <v>0</v>
      </c>
      <c r="D3" s="1">
        <v>35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35</v>
      </c>
      <c r="L3" s="1">
        <v>0</v>
      </c>
      <c r="M3" s="1">
        <v>0</v>
      </c>
      <c r="N3" s="1">
        <v>0</v>
      </c>
      <c r="O3" s="1">
        <v>0.25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0.125</v>
      </c>
      <c r="W3" s="1">
        <v>0.125</v>
      </c>
      <c r="X3" s="1">
        <v>0</v>
      </c>
      <c r="Y3" s="1">
        <v>0.25</v>
      </c>
      <c r="Z3" s="1">
        <v>0.25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30</v>
      </c>
      <c r="AG3" s="1">
        <v>0</v>
      </c>
      <c r="AH3" s="1">
        <v>0</v>
      </c>
      <c r="AI3" s="1">
        <v>0</v>
      </c>
      <c r="AJ3" s="1">
        <v>0</v>
      </c>
      <c r="AK3" s="1">
        <v>24</v>
      </c>
      <c r="AL3" s="1">
        <v>0</v>
      </c>
      <c r="AM3" s="1">
        <v>24</v>
      </c>
      <c r="AN3" s="1">
        <v>0</v>
      </c>
      <c r="AO3" s="1">
        <v>0</v>
      </c>
      <c r="AP3" s="1">
        <v>0</v>
      </c>
      <c r="AQ3" s="1">
        <v>0</v>
      </c>
      <c r="AR3" s="1">
        <v>12</v>
      </c>
      <c r="AS3" s="1">
        <v>0</v>
      </c>
      <c r="AT3" s="1">
        <v>0</v>
      </c>
      <c r="AU3" s="1">
        <v>10</v>
      </c>
      <c r="AV3" s="1">
        <v>0</v>
      </c>
      <c r="AW3" s="1">
        <v>24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50</v>
      </c>
      <c r="BD3" s="1">
        <v>60</v>
      </c>
      <c r="BE3" s="1">
        <v>0</v>
      </c>
      <c r="BF3" s="1">
        <v>0</v>
      </c>
      <c r="BG3" s="1">
        <v>0</v>
      </c>
      <c r="BH3" s="1">
        <v>60</v>
      </c>
      <c r="BI3" s="1">
        <v>0</v>
      </c>
      <c r="BJ3" s="1">
        <v>0</v>
      </c>
      <c r="BK3" s="1">
        <v>0</v>
      </c>
      <c r="BL3">
        <v>4</v>
      </c>
      <c r="BM3">
        <v>3</v>
      </c>
    </row>
    <row r="4" spans="1:65">
      <c r="A4" t="s">
        <v>209</v>
      </c>
      <c r="B4" s="1">
        <v>0</v>
      </c>
      <c r="C4" s="1">
        <v>0</v>
      </c>
      <c r="D4" s="1">
        <v>90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0.25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0.125</v>
      </c>
      <c r="W4" s="1">
        <v>0.125</v>
      </c>
      <c r="X4" s="1">
        <v>0</v>
      </c>
      <c r="Y4" s="1">
        <v>0.25</v>
      </c>
      <c r="Z4" s="1">
        <v>0.25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30</v>
      </c>
      <c r="AG4" s="1">
        <v>0</v>
      </c>
      <c r="AH4" s="1">
        <v>0</v>
      </c>
      <c r="AI4" s="1">
        <v>0</v>
      </c>
      <c r="AJ4" s="1">
        <v>0</v>
      </c>
      <c r="AK4" s="1">
        <v>32</v>
      </c>
      <c r="AL4" s="1">
        <v>0</v>
      </c>
      <c r="AM4" s="1">
        <v>24</v>
      </c>
      <c r="AN4" s="1">
        <v>0</v>
      </c>
      <c r="AO4" s="1">
        <v>0</v>
      </c>
      <c r="AP4" s="1">
        <v>0</v>
      </c>
      <c r="AQ4" s="1">
        <v>0</v>
      </c>
      <c r="AR4" s="1">
        <v>12</v>
      </c>
      <c r="AS4" s="1">
        <v>0</v>
      </c>
      <c r="AT4" s="1">
        <v>0</v>
      </c>
      <c r="AU4" s="1">
        <v>10</v>
      </c>
      <c r="AV4" s="1">
        <v>15</v>
      </c>
      <c r="AW4" s="1">
        <v>15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0.125</v>
      </c>
      <c r="BK4" s="1">
        <v>0</v>
      </c>
      <c r="BL4">
        <v>5</v>
      </c>
      <c r="BM4">
        <v>4</v>
      </c>
    </row>
    <row r="5" spans="1:65">
      <c r="A5" t="s">
        <v>158</v>
      </c>
      <c r="B5" s="1">
        <v>0</v>
      </c>
      <c r="C5" s="1">
        <v>0</v>
      </c>
      <c r="D5" s="1">
        <v>30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45</v>
      </c>
      <c r="L5" s="1">
        <v>0</v>
      </c>
      <c r="M5" s="1">
        <v>0</v>
      </c>
      <c r="N5" s="1">
        <v>0</v>
      </c>
      <c r="O5" s="1">
        <v>0.25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0.125</v>
      </c>
      <c r="W5" s="1">
        <v>0.125</v>
      </c>
      <c r="X5" s="1">
        <v>0</v>
      </c>
      <c r="Y5" s="1">
        <v>0.25</v>
      </c>
      <c r="Z5" s="1">
        <v>0.25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25</v>
      </c>
      <c r="AG5" s="1">
        <v>0</v>
      </c>
      <c r="AH5" s="1">
        <v>0</v>
      </c>
      <c r="AI5" s="1">
        <v>0</v>
      </c>
      <c r="AJ5" s="1">
        <v>15</v>
      </c>
      <c r="AK5" s="1">
        <v>25</v>
      </c>
      <c r="AL5" s="1">
        <v>15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15</v>
      </c>
      <c r="AS5" s="1">
        <v>0</v>
      </c>
      <c r="AT5" s="1">
        <v>0</v>
      </c>
      <c r="AU5" s="1">
        <v>10</v>
      </c>
      <c r="AV5" s="1">
        <v>12</v>
      </c>
      <c r="AW5" s="1">
        <v>12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90</v>
      </c>
      <c r="BI5" s="1">
        <v>0</v>
      </c>
      <c r="BJ5" s="1">
        <v>0</v>
      </c>
      <c r="BK5" s="1">
        <v>0</v>
      </c>
      <c r="BL5">
        <v>6</v>
      </c>
      <c r="BM5">
        <v>5</v>
      </c>
    </row>
    <row r="6" spans="1:65">
      <c r="A6" t="s">
        <v>157</v>
      </c>
      <c r="B6" s="1">
        <v>0</v>
      </c>
      <c r="C6" s="1">
        <v>0</v>
      </c>
      <c r="D6" s="1">
        <v>30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45</v>
      </c>
      <c r="M6" s="1">
        <v>0</v>
      </c>
      <c r="N6" s="1">
        <v>0</v>
      </c>
      <c r="O6" s="1">
        <v>0.25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0.125</v>
      </c>
      <c r="W6" s="1">
        <v>0.125</v>
      </c>
      <c r="X6" s="1">
        <v>0</v>
      </c>
      <c r="Y6" s="1">
        <v>0.25</v>
      </c>
      <c r="Z6" s="1">
        <v>0.25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25</v>
      </c>
      <c r="AG6" s="1">
        <v>0</v>
      </c>
      <c r="AH6" s="1">
        <v>0</v>
      </c>
      <c r="AI6" s="1">
        <v>0</v>
      </c>
      <c r="AJ6" s="1">
        <v>15</v>
      </c>
      <c r="AK6" s="1">
        <v>25</v>
      </c>
      <c r="AL6" s="1">
        <v>15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15</v>
      </c>
      <c r="AS6" s="1">
        <v>0</v>
      </c>
      <c r="AT6" s="1">
        <v>0</v>
      </c>
      <c r="AU6" s="1">
        <v>10</v>
      </c>
      <c r="AV6" s="1">
        <v>12</v>
      </c>
      <c r="AW6" s="1">
        <v>12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90</v>
      </c>
      <c r="BI6" s="1">
        <v>0</v>
      </c>
      <c r="BJ6" s="1">
        <v>0</v>
      </c>
      <c r="BK6" s="1">
        <v>0</v>
      </c>
      <c r="BL6">
        <v>7</v>
      </c>
      <c r="BM6">
        <v>6</v>
      </c>
    </row>
    <row r="7" spans="1:65">
      <c r="A7" t="s">
        <v>156</v>
      </c>
      <c r="B7" s="1">
        <v>0</v>
      </c>
      <c r="C7" s="1">
        <v>0</v>
      </c>
      <c r="D7" s="1">
        <v>30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45</v>
      </c>
      <c r="N7" s="1">
        <v>0</v>
      </c>
      <c r="O7" s="1">
        <v>0.25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0.125</v>
      </c>
      <c r="W7" s="1">
        <v>0.125</v>
      </c>
      <c r="X7" s="1">
        <v>0</v>
      </c>
      <c r="Y7" s="1">
        <v>0.25</v>
      </c>
      <c r="Z7" s="1">
        <v>0.25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25</v>
      </c>
      <c r="AG7" s="1">
        <v>0</v>
      </c>
      <c r="AH7" s="1">
        <v>0</v>
      </c>
      <c r="AI7" s="1">
        <v>0</v>
      </c>
      <c r="AJ7" s="1">
        <v>15</v>
      </c>
      <c r="AK7" s="1">
        <v>25</v>
      </c>
      <c r="AL7" s="1">
        <v>15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15</v>
      </c>
      <c r="AS7" s="1">
        <v>0</v>
      </c>
      <c r="AT7" s="1">
        <v>0</v>
      </c>
      <c r="AU7" s="1">
        <v>10</v>
      </c>
      <c r="AV7" s="1">
        <v>12</v>
      </c>
      <c r="AW7" s="1">
        <v>12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90</v>
      </c>
      <c r="BI7" s="1">
        <v>0</v>
      </c>
      <c r="BJ7" s="1">
        <v>0</v>
      </c>
      <c r="BK7" s="1">
        <v>0</v>
      </c>
      <c r="BL7">
        <v>8</v>
      </c>
      <c r="BM7">
        <v>7</v>
      </c>
    </row>
    <row r="8" spans="1:65">
      <c r="A8" t="s">
        <v>155</v>
      </c>
      <c r="B8" s="1">
        <v>0</v>
      </c>
      <c r="C8" s="1">
        <v>0</v>
      </c>
      <c r="D8" s="1">
        <v>32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45</v>
      </c>
      <c r="N8" s="1">
        <v>0</v>
      </c>
      <c r="O8" s="1">
        <v>0.25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0.25</v>
      </c>
      <c r="W8" s="1">
        <v>0.125</v>
      </c>
      <c r="X8" s="1">
        <v>0</v>
      </c>
      <c r="Y8" s="1">
        <v>0.25</v>
      </c>
      <c r="Z8" s="1">
        <v>0.25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20</v>
      </c>
      <c r="AG8" s="1">
        <v>0</v>
      </c>
      <c r="AH8" s="1">
        <v>0</v>
      </c>
      <c r="AI8" s="1">
        <v>0</v>
      </c>
      <c r="AJ8" s="1">
        <v>12</v>
      </c>
      <c r="AK8" s="1">
        <v>25</v>
      </c>
      <c r="AL8" s="1">
        <v>10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10</v>
      </c>
      <c r="AS8" s="1">
        <v>0</v>
      </c>
      <c r="AT8" s="1">
        <v>0</v>
      </c>
      <c r="AU8" s="1">
        <v>10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72</v>
      </c>
      <c r="BI8" s="1">
        <v>0</v>
      </c>
      <c r="BJ8" s="1">
        <v>0</v>
      </c>
      <c r="BK8" s="1">
        <v>0</v>
      </c>
      <c r="BL8">
        <v>9</v>
      </c>
      <c r="BM8">
        <v>8</v>
      </c>
    </row>
    <row r="9" spans="1:65">
      <c r="A9" t="s">
        <v>154</v>
      </c>
      <c r="B9" s="1">
        <v>0</v>
      </c>
      <c r="C9" s="1">
        <v>0</v>
      </c>
      <c r="D9" s="1">
        <v>20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24</v>
      </c>
      <c r="L9" s="1">
        <v>0</v>
      </c>
      <c r="M9" s="1">
        <v>16</v>
      </c>
      <c r="N9" s="1">
        <v>0</v>
      </c>
      <c r="O9" s="1">
        <v>0.25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0.25</v>
      </c>
      <c r="W9" s="1">
        <v>0.125</v>
      </c>
      <c r="X9" s="1">
        <v>0</v>
      </c>
      <c r="Y9" s="1">
        <v>0</v>
      </c>
      <c r="Z9" s="1">
        <v>0.25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25</v>
      </c>
      <c r="AG9" s="1">
        <v>0</v>
      </c>
      <c r="AH9" s="1">
        <v>0</v>
      </c>
      <c r="AI9" s="1">
        <v>0</v>
      </c>
      <c r="AJ9" s="1">
        <v>0</v>
      </c>
      <c r="AK9" s="1">
        <v>20</v>
      </c>
      <c r="AL9" s="1">
        <v>20</v>
      </c>
      <c r="AM9" s="1">
        <v>0</v>
      </c>
      <c r="AN9" s="1">
        <v>0</v>
      </c>
      <c r="AO9" s="1">
        <v>0</v>
      </c>
      <c r="AP9" s="1">
        <v>1.5</v>
      </c>
      <c r="AQ9" s="1">
        <v>0</v>
      </c>
      <c r="AR9" s="1">
        <v>12</v>
      </c>
      <c r="AS9" s="1">
        <v>0</v>
      </c>
      <c r="AT9" s="1">
        <v>0</v>
      </c>
      <c r="AU9" s="1">
        <v>6</v>
      </c>
      <c r="AV9" s="1">
        <v>25</v>
      </c>
      <c r="AW9" s="1">
        <v>10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0.125</v>
      </c>
      <c r="BK9" s="1">
        <v>0</v>
      </c>
      <c r="BL9">
        <v>10</v>
      </c>
      <c r="BM9">
        <v>9</v>
      </c>
    </row>
    <row r="10" spans="1:65">
      <c r="A10" t="s">
        <v>153</v>
      </c>
      <c r="B10" s="1">
        <v>0</v>
      </c>
      <c r="C10" s="1">
        <v>0</v>
      </c>
      <c r="D10" s="1">
        <v>25</v>
      </c>
      <c r="E10" s="1">
        <v>20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75</v>
      </c>
      <c r="N10" s="1">
        <v>0</v>
      </c>
      <c r="O10" s="1">
        <v>0.5</v>
      </c>
      <c r="P10" s="1">
        <v>0</v>
      </c>
      <c r="Q10" s="1">
        <v>0</v>
      </c>
      <c r="R10" s="1">
        <v>0.125</v>
      </c>
      <c r="S10" s="1">
        <v>0</v>
      </c>
      <c r="T10" s="1">
        <v>0</v>
      </c>
      <c r="U10" s="1">
        <v>0</v>
      </c>
      <c r="V10" s="1">
        <v>0.25</v>
      </c>
      <c r="W10" s="1">
        <v>0.25</v>
      </c>
      <c r="X10" s="1">
        <v>0</v>
      </c>
      <c r="Y10" s="1">
        <v>0</v>
      </c>
      <c r="Z10" s="1">
        <v>0.5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34</v>
      </c>
      <c r="AG10" s="1">
        <v>0</v>
      </c>
      <c r="AH10" s="1">
        <v>0</v>
      </c>
      <c r="AI10" s="1">
        <v>0</v>
      </c>
      <c r="AJ10" s="1">
        <v>0</v>
      </c>
      <c r="AK10" s="1">
        <v>60</v>
      </c>
      <c r="AL10" s="1">
        <v>30</v>
      </c>
      <c r="AM10" s="1">
        <v>0</v>
      </c>
      <c r="AN10" s="1">
        <v>0</v>
      </c>
      <c r="AO10" s="1">
        <v>0</v>
      </c>
      <c r="AP10" s="1">
        <v>4.5</v>
      </c>
      <c r="AQ10" s="1">
        <v>0</v>
      </c>
      <c r="AR10" s="1">
        <v>24</v>
      </c>
      <c r="AS10" s="1">
        <v>0</v>
      </c>
      <c r="AT10" s="1">
        <v>0</v>
      </c>
      <c r="AU10" s="1">
        <v>0</v>
      </c>
      <c r="AV10" s="1">
        <v>50</v>
      </c>
      <c r="AW10" s="1">
        <v>20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0.75</v>
      </c>
      <c r="BK10" s="1">
        <v>0</v>
      </c>
      <c r="BL10">
        <v>11</v>
      </c>
      <c r="BM10">
        <v>10</v>
      </c>
    </row>
    <row r="11" spans="1:65">
      <c r="A11" t="s">
        <v>152</v>
      </c>
      <c r="B11" s="1">
        <v>0</v>
      </c>
      <c r="C11" s="1">
        <v>0</v>
      </c>
      <c r="D11" s="1">
        <v>20</v>
      </c>
      <c r="E11" s="1">
        <v>30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35</v>
      </c>
      <c r="L11" s="1">
        <v>0</v>
      </c>
      <c r="M11" s="1">
        <v>35</v>
      </c>
      <c r="N11" s="1">
        <v>0</v>
      </c>
      <c r="O11" s="1">
        <v>0.5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0.25</v>
      </c>
      <c r="W11" s="1">
        <v>0.25</v>
      </c>
      <c r="X11" s="1">
        <v>0</v>
      </c>
      <c r="Y11" s="1">
        <v>0</v>
      </c>
      <c r="Z11" s="1">
        <v>0.5</v>
      </c>
      <c r="AA11" s="1">
        <v>0.25</v>
      </c>
      <c r="AB11" s="1">
        <v>0</v>
      </c>
      <c r="AC11" s="1">
        <v>0</v>
      </c>
      <c r="AD11" s="1">
        <v>0</v>
      </c>
      <c r="AE11" s="1">
        <v>0</v>
      </c>
      <c r="AF11" s="1">
        <v>22.5</v>
      </c>
      <c r="AG11" s="1">
        <v>0</v>
      </c>
      <c r="AH11" s="1">
        <v>0</v>
      </c>
      <c r="AI11" s="1">
        <v>0</v>
      </c>
      <c r="AJ11" s="1">
        <v>24</v>
      </c>
      <c r="AK11" s="1">
        <v>70</v>
      </c>
      <c r="AL11" s="1">
        <v>0</v>
      </c>
      <c r="AM11" s="1">
        <v>0</v>
      </c>
      <c r="AN11" s="1">
        <v>0</v>
      </c>
      <c r="AO11" s="1">
        <v>0</v>
      </c>
      <c r="AP11" s="1">
        <v>6</v>
      </c>
      <c r="AQ11" s="1">
        <v>0</v>
      </c>
      <c r="AR11" s="1">
        <v>24</v>
      </c>
      <c r="AS11" s="1">
        <v>0</v>
      </c>
      <c r="AT11" s="1">
        <v>1.25</v>
      </c>
      <c r="AU11" s="1">
        <v>10</v>
      </c>
      <c r="AV11" s="1">
        <v>40</v>
      </c>
      <c r="AW11" s="1">
        <v>30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0.5</v>
      </c>
      <c r="BK11" s="1">
        <v>0</v>
      </c>
      <c r="BL11">
        <v>12</v>
      </c>
      <c r="BM11">
        <v>11</v>
      </c>
    </row>
    <row r="12" spans="1:65">
      <c r="A12" t="s">
        <v>151</v>
      </c>
      <c r="B12" s="1">
        <v>0</v>
      </c>
      <c r="C12" s="1">
        <v>0</v>
      </c>
      <c r="D12" s="1">
        <v>0</v>
      </c>
      <c r="E12" s="1">
        <v>25</v>
      </c>
      <c r="F12" s="1">
        <v>0</v>
      </c>
      <c r="G12" s="1">
        <v>0</v>
      </c>
      <c r="H12" s="1">
        <v>0</v>
      </c>
      <c r="I12" s="1">
        <v>0</v>
      </c>
      <c r="J12" s="1">
        <v>30</v>
      </c>
      <c r="K12" s="1">
        <v>35</v>
      </c>
      <c r="L12" s="1">
        <v>0</v>
      </c>
      <c r="M12" s="1">
        <v>40</v>
      </c>
      <c r="N12" s="1">
        <v>0</v>
      </c>
      <c r="O12" s="1">
        <v>0</v>
      </c>
      <c r="P12" s="1">
        <v>0.75</v>
      </c>
      <c r="Q12" s="1">
        <v>0</v>
      </c>
      <c r="R12" s="1">
        <v>0.125</v>
      </c>
      <c r="S12" s="1">
        <v>0</v>
      </c>
      <c r="T12" s="1">
        <v>0</v>
      </c>
      <c r="U12" s="1">
        <v>0</v>
      </c>
      <c r="V12" s="1">
        <v>0</v>
      </c>
      <c r="W12" s="1">
        <v>0.25</v>
      </c>
      <c r="X12" s="1">
        <v>0</v>
      </c>
      <c r="Y12" s="1">
        <v>0</v>
      </c>
      <c r="Z12" s="1">
        <v>0.75</v>
      </c>
      <c r="AA12" s="1">
        <v>0.5</v>
      </c>
      <c r="AB12" s="1">
        <v>0</v>
      </c>
      <c r="AC12" s="1">
        <v>0</v>
      </c>
      <c r="AD12" s="1">
        <v>0</v>
      </c>
      <c r="AE12" s="1">
        <v>0</v>
      </c>
      <c r="AF12" s="1">
        <v>67.5</v>
      </c>
      <c r="AG12" s="1">
        <v>0</v>
      </c>
      <c r="AH12" s="1">
        <v>0</v>
      </c>
      <c r="AI12" s="1">
        <v>0</v>
      </c>
      <c r="AJ12" s="1">
        <v>24</v>
      </c>
      <c r="AK12" s="1">
        <v>70</v>
      </c>
      <c r="AL12" s="1">
        <v>0</v>
      </c>
      <c r="AM12" s="1">
        <v>0</v>
      </c>
      <c r="AN12" s="1">
        <v>0</v>
      </c>
      <c r="AO12" s="1">
        <v>0</v>
      </c>
      <c r="AP12" s="1">
        <v>6</v>
      </c>
      <c r="AQ12" s="1">
        <v>0</v>
      </c>
      <c r="AR12" s="1">
        <v>20</v>
      </c>
      <c r="AS12" s="1">
        <v>0</v>
      </c>
      <c r="AT12" s="1">
        <v>2.5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70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1.5</v>
      </c>
      <c r="BK12" s="1">
        <v>0</v>
      </c>
      <c r="BL12">
        <v>13</v>
      </c>
      <c r="BM12">
        <v>12</v>
      </c>
    </row>
    <row r="13" spans="1:65">
      <c r="A13" t="s">
        <v>150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30</v>
      </c>
      <c r="K13" s="1">
        <v>45</v>
      </c>
      <c r="L13" s="1">
        <v>45</v>
      </c>
      <c r="M13" s="1">
        <v>0</v>
      </c>
      <c r="N13" s="1">
        <v>0</v>
      </c>
      <c r="O13" s="1">
        <v>0</v>
      </c>
      <c r="P13" s="1">
        <v>1</v>
      </c>
      <c r="Q13" s="1">
        <v>0</v>
      </c>
      <c r="R13" s="1">
        <v>0.125</v>
      </c>
      <c r="S13" s="1">
        <v>0</v>
      </c>
      <c r="T13" s="1">
        <v>0</v>
      </c>
      <c r="U13" s="1">
        <v>0</v>
      </c>
      <c r="V13" s="1">
        <v>0</v>
      </c>
      <c r="W13" s="1">
        <v>0.25</v>
      </c>
      <c r="X13" s="1">
        <v>0</v>
      </c>
      <c r="Y13" s="1">
        <v>0</v>
      </c>
      <c r="Z13" s="1">
        <v>1</v>
      </c>
      <c r="AA13" s="1">
        <v>0.5</v>
      </c>
      <c r="AB13" s="1">
        <v>0</v>
      </c>
      <c r="AC13" s="1">
        <v>0</v>
      </c>
      <c r="AD13" s="1">
        <v>0</v>
      </c>
      <c r="AE13" s="1">
        <v>0</v>
      </c>
      <c r="AF13" s="1">
        <v>67.5</v>
      </c>
      <c r="AG13" s="1">
        <v>0</v>
      </c>
      <c r="AH13" s="1">
        <v>0</v>
      </c>
      <c r="AI13" s="1">
        <v>0</v>
      </c>
      <c r="AJ13" s="1">
        <v>12</v>
      </c>
      <c r="AK13" s="1">
        <v>75</v>
      </c>
      <c r="AL13" s="1">
        <v>0</v>
      </c>
      <c r="AM13" s="1">
        <v>0</v>
      </c>
      <c r="AN13" s="1">
        <v>0</v>
      </c>
      <c r="AO13" s="1">
        <v>0</v>
      </c>
      <c r="AP13" s="1">
        <v>6</v>
      </c>
      <c r="AQ13" s="1">
        <v>0</v>
      </c>
      <c r="AR13" s="1">
        <v>24</v>
      </c>
      <c r="AS13" s="1">
        <v>0</v>
      </c>
      <c r="AT13" s="1">
        <v>0</v>
      </c>
      <c r="AU13" s="1">
        <v>10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60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1.5</v>
      </c>
      <c r="BK13" s="1">
        <v>0</v>
      </c>
      <c r="BL13">
        <v>14</v>
      </c>
      <c r="BM13">
        <v>13</v>
      </c>
    </row>
    <row r="14" spans="1:65">
      <c r="A14" t="s">
        <v>149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40</v>
      </c>
      <c r="K14" s="1">
        <v>80</v>
      </c>
      <c r="L14" s="1">
        <v>0</v>
      </c>
      <c r="M14" s="1">
        <v>0</v>
      </c>
      <c r="N14" s="1">
        <v>0</v>
      </c>
      <c r="O14" s="1">
        <v>0</v>
      </c>
      <c r="P14" s="1">
        <v>1</v>
      </c>
      <c r="Q14" s="1">
        <v>0</v>
      </c>
      <c r="R14" s="1">
        <v>0.125</v>
      </c>
      <c r="S14" s="1">
        <v>0</v>
      </c>
      <c r="T14" s="1">
        <v>0</v>
      </c>
      <c r="U14" s="1">
        <v>0.125</v>
      </c>
      <c r="V14" s="1">
        <v>0.25</v>
      </c>
      <c r="W14" s="1">
        <v>0.25</v>
      </c>
      <c r="X14" s="1">
        <v>0</v>
      </c>
      <c r="Y14" s="1">
        <v>0</v>
      </c>
      <c r="Z14" s="1">
        <v>1</v>
      </c>
      <c r="AA14" s="1">
        <v>0.5</v>
      </c>
      <c r="AB14" s="1">
        <v>0</v>
      </c>
      <c r="AC14" s="1">
        <v>0</v>
      </c>
      <c r="AD14" s="1">
        <v>0</v>
      </c>
      <c r="AE14" s="1">
        <v>0</v>
      </c>
      <c r="AF14" s="1">
        <v>45</v>
      </c>
      <c r="AG14" s="1">
        <v>0</v>
      </c>
      <c r="AH14" s="1">
        <v>0</v>
      </c>
      <c r="AI14" s="1">
        <v>0</v>
      </c>
      <c r="AJ14" s="1">
        <v>36</v>
      </c>
      <c r="AK14" s="1">
        <v>60</v>
      </c>
      <c r="AL14" s="1">
        <v>0</v>
      </c>
      <c r="AM14" s="1">
        <v>0</v>
      </c>
      <c r="AN14" s="1">
        <v>0</v>
      </c>
      <c r="AO14" s="1">
        <v>0</v>
      </c>
      <c r="AP14" s="1">
        <v>6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30</v>
      </c>
      <c r="AX14" s="1">
        <v>0</v>
      </c>
      <c r="AY14" s="1">
        <v>0</v>
      </c>
      <c r="AZ14" s="1">
        <v>0</v>
      </c>
      <c r="BA14" s="1">
        <v>30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1</v>
      </c>
      <c r="BK14" s="1">
        <v>0</v>
      </c>
      <c r="BL14">
        <v>15</v>
      </c>
      <c r="BM14">
        <v>14</v>
      </c>
    </row>
    <row r="15" spans="1:65">
      <c r="A15" t="s">
        <v>148</v>
      </c>
      <c r="B15" s="1">
        <v>0</v>
      </c>
      <c r="C15" s="1">
        <v>0</v>
      </c>
      <c r="D15" s="1">
        <v>0</v>
      </c>
      <c r="E15" s="1">
        <v>15</v>
      </c>
      <c r="F15" s="1">
        <v>0</v>
      </c>
      <c r="G15" s="1">
        <v>0</v>
      </c>
      <c r="H15" s="1">
        <v>0</v>
      </c>
      <c r="I15" s="1">
        <v>0</v>
      </c>
      <c r="J15" s="1">
        <v>15</v>
      </c>
      <c r="K15" s="1">
        <v>30</v>
      </c>
      <c r="L15" s="1">
        <v>30</v>
      </c>
      <c r="M15" s="1">
        <v>30</v>
      </c>
      <c r="N15" s="1">
        <v>0</v>
      </c>
      <c r="O15" s="1">
        <v>0.5</v>
      </c>
      <c r="P15" s="1">
        <v>0</v>
      </c>
      <c r="Q15" s="1">
        <v>0</v>
      </c>
      <c r="R15" s="1">
        <v>0.25</v>
      </c>
      <c r="S15" s="1">
        <v>0.25</v>
      </c>
      <c r="T15" s="1">
        <v>0</v>
      </c>
      <c r="U15" s="1">
        <v>0</v>
      </c>
      <c r="V15" s="1">
        <v>0.25</v>
      </c>
      <c r="W15" s="1">
        <v>0.25</v>
      </c>
      <c r="X15" s="1">
        <v>0</v>
      </c>
      <c r="Y15" s="1">
        <v>0</v>
      </c>
      <c r="Z15" s="1">
        <v>1</v>
      </c>
      <c r="AA15" s="1">
        <v>0.5</v>
      </c>
      <c r="AB15" s="1">
        <v>0</v>
      </c>
      <c r="AC15" s="1">
        <v>0</v>
      </c>
      <c r="AD15" s="1">
        <v>0</v>
      </c>
      <c r="AE15" s="1">
        <v>9.3000000000000007</v>
      </c>
      <c r="AF15" s="1">
        <v>60</v>
      </c>
      <c r="AG15" s="1">
        <v>0</v>
      </c>
      <c r="AH15" s="1">
        <v>0</v>
      </c>
      <c r="AI15" s="1">
        <v>6</v>
      </c>
      <c r="AJ15" s="1">
        <v>20</v>
      </c>
      <c r="AK15" s="1">
        <v>60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30</v>
      </c>
      <c r="AS15" s="1">
        <v>0</v>
      </c>
      <c r="AT15" s="1">
        <v>0</v>
      </c>
      <c r="AU15" s="1">
        <v>0</v>
      </c>
      <c r="AV15" s="1">
        <v>0</v>
      </c>
      <c r="AW15" s="1">
        <v>30</v>
      </c>
      <c r="AX15" s="1">
        <v>0</v>
      </c>
      <c r="AY15" s="1">
        <v>0</v>
      </c>
      <c r="AZ15" s="1">
        <v>0</v>
      </c>
      <c r="BA15" s="1">
        <v>50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>
        <v>16</v>
      </c>
      <c r="BM15">
        <v>15</v>
      </c>
    </row>
    <row r="16" spans="1:65">
      <c r="A16" t="s">
        <v>147</v>
      </c>
      <c r="B16" s="1">
        <v>0</v>
      </c>
      <c r="C16" s="1">
        <v>15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35</v>
      </c>
      <c r="L16" s="1">
        <v>35</v>
      </c>
      <c r="M16" s="1">
        <v>35</v>
      </c>
      <c r="N16" s="1">
        <v>0</v>
      </c>
      <c r="O16" s="1">
        <v>0.5</v>
      </c>
      <c r="P16" s="1">
        <v>0</v>
      </c>
      <c r="Q16" s="1">
        <v>0</v>
      </c>
      <c r="R16" s="1">
        <v>0.125</v>
      </c>
      <c r="S16" s="1">
        <v>0.125</v>
      </c>
      <c r="T16" s="1">
        <v>0</v>
      </c>
      <c r="U16" s="1">
        <v>0</v>
      </c>
      <c r="V16" s="1">
        <v>0.25</v>
      </c>
      <c r="W16" s="1">
        <v>0.25</v>
      </c>
      <c r="X16" s="1">
        <v>0</v>
      </c>
      <c r="Y16" s="1">
        <v>0</v>
      </c>
      <c r="Z16" s="1">
        <v>0.75</v>
      </c>
      <c r="AA16" s="1">
        <v>0.5</v>
      </c>
      <c r="AB16" s="1">
        <v>0</v>
      </c>
      <c r="AC16" s="1">
        <v>0</v>
      </c>
      <c r="AD16" s="1">
        <v>0</v>
      </c>
      <c r="AE16" s="1">
        <v>7</v>
      </c>
      <c r="AF16" s="1">
        <v>50</v>
      </c>
      <c r="AG16" s="1">
        <v>0</v>
      </c>
      <c r="AH16" s="1">
        <v>0</v>
      </c>
      <c r="AI16" s="1">
        <v>6</v>
      </c>
      <c r="AJ16" s="1">
        <v>12</v>
      </c>
      <c r="AK16" s="1">
        <v>50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40</v>
      </c>
      <c r="AS16" s="1">
        <v>0</v>
      </c>
      <c r="AT16" s="1">
        <v>0</v>
      </c>
      <c r="AU16" s="1">
        <v>0</v>
      </c>
      <c r="AV16" s="1">
        <v>0</v>
      </c>
      <c r="AW16" s="1">
        <v>20</v>
      </c>
      <c r="AX16" s="1">
        <v>0</v>
      </c>
      <c r="AY16" s="1">
        <v>0</v>
      </c>
      <c r="AZ16" s="1">
        <v>0</v>
      </c>
      <c r="BA16" s="1">
        <v>50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>
        <v>17</v>
      </c>
      <c r="BM16">
        <v>16</v>
      </c>
    </row>
    <row r="17" spans="1:65">
      <c r="A17" t="s">
        <v>146</v>
      </c>
      <c r="B17" s="1">
        <v>0</v>
      </c>
      <c r="C17" s="1">
        <v>0</v>
      </c>
      <c r="D17" s="1">
        <v>0</v>
      </c>
      <c r="E17" s="1">
        <v>15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40</v>
      </c>
      <c r="L17" s="1">
        <v>35</v>
      </c>
      <c r="M17" s="1">
        <v>35</v>
      </c>
      <c r="N17" s="1">
        <v>0</v>
      </c>
      <c r="O17" s="1">
        <v>0.5</v>
      </c>
      <c r="P17" s="1">
        <v>0</v>
      </c>
      <c r="Q17" s="1">
        <v>0.125</v>
      </c>
      <c r="R17" s="1">
        <v>0.125</v>
      </c>
      <c r="S17" s="1">
        <v>0.125</v>
      </c>
      <c r="T17" s="1">
        <v>0</v>
      </c>
      <c r="U17" s="1">
        <v>0</v>
      </c>
      <c r="V17" s="1">
        <v>0.25</v>
      </c>
      <c r="W17" s="1">
        <v>0.25</v>
      </c>
      <c r="X17" s="1">
        <v>0</v>
      </c>
      <c r="Y17" s="1">
        <v>0</v>
      </c>
      <c r="Z17" s="1">
        <v>0.75</v>
      </c>
      <c r="AA17" s="1">
        <v>0.25</v>
      </c>
      <c r="AB17" s="1">
        <v>0</v>
      </c>
      <c r="AC17" s="1">
        <v>0</v>
      </c>
      <c r="AD17" s="1">
        <v>0</v>
      </c>
      <c r="AE17" s="1">
        <v>7</v>
      </c>
      <c r="AF17" s="1">
        <v>45</v>
      </c>
      <c r="AG17" s="1">
        <v>0</v>
      </c>
      <c r="AH17" s="1">
        <v>0</v>
      </c>
      <c r="AI17" s="1">
        <v>4.5</v>
      </c>
      <c r="AJ17" s="1">
        <v>12</v>
      </c>
      <c r="AK17" s="1">
        <v>50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40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50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>
        <v>18</v>
      </c>
      <c r="BM17">
        <v>17</v>
      </c>
    </row>
    <row r="18" spans="1:65">
      <c r="A18" t="s">
        <v>60</v>
      </c>
      <c r="B18" s="1">
        <v>0</v>
      </c>
      <c r="C18" s="1">
        <v>15</v>
      </c>
      <c r="D18" s="1">
        <v>0</v>
      </c>
      <c r="E18" s="1">
        <v>30</v>
      </c>
      <c r="F18" s="1">
        <v>0</v>
      </c>
      <c r="G18" s="1">
        <v>25</v>
      </c>
      <c r="H18" s="1">
        <v>0</v>
      </c>
      <c r="I18" s="1">
        <v>0</v>
      </c>
      <c r="J18" s="1">
        <v>0</v>
      </c>
      <c r="K18" s="1">
        <v>30</v>
      </c>
      <c r="L18" s="1">
        <v>0</v>
      </c>
      <c r="M18" s="1">
        <v>30</v>
      </c>
      <c r="N18" s="1">
        <v>0</v>
      </c>
      <c r="O18" s="1">
        <v>0.5</v>
      </c>
      <c r="P18" s="1">
        <v>0</v>
      </c>
      <c r="Q18" s="1">
        <v>0.125</v>
      </c>
      <c r="R18" s="1">
        <v>0.125</v>
      </c>
      <c r="S18" s="1">
        <v>0</v>
      </c>
      <c r="T18" s="1">
        <v>0</v>
      </c>
      <c r="U18" s="1">
        <v>0</v>
      </c>
      <c r="V18" s="1">
        <v>0.25</v>
      </c>
      <c r="W18" s="1">
        <v>0.25</v>
      </c>
      <c r="X18" s="1">
        <v>0</v>
      </c>
      <c r="Y18" s="1">
        <v>0.5</v>
      </c>
      <c r="Z18" s="1">
        <v>0.25</v>
      </c>
      <c r="AA18" s="1">
        <v>0</v>
      </c>
      <c r="AB18" s="1">
        <v>0</v>
      </c>
      <c r="AC18" s="1">
        <v>0</v>
      </c>
      <c r="AD18" s="1">
        <v>0</v>
      </c>
      <c r="AE18" s="1">
        <v>7</v>
      </c>
      <c r="AF18" s="1">
        <v>45</v>
      </c>
      <c r="AG18" s="1">
        <v>0</v>
      </c>
      <c r="AH18" s="1">
        <v>0</v>
      </c>
      <c r="AI18" s="1">
        <v>6</v>
      </c>
      <c r="AJ18" s="1">
        <v>36</v>
      </c>
      <c r="AK18" s="1">
        <v>50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30</v>
      </c>
      <c r="AS18" s="1">
        <v>0</v>
      </c>
      <c r="AT18" s="1">
        <v>4</v>
      </c>
      <c r="AU18" s="1">
        <v>0</v>
      </c>
      <c r="AV18" s="1">
        <v>0</v>
      </c>
      <c r="AW18" s="1">
        <v>50</v>
      </c>
      <c r="AX18" s="1">
        <v>0</v>
      </c>
      <c r="AY18" s="1">
        <v>0</v>
      </c>
      <c r="AZ18" s="1">
        <v>0</v>
      </c>
      <c r="BA18" s="1">
        <v>30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>
        <v>19</v>
      </c>
      <c r="BM18">
        <v>18</v>
      </c>
    </row>
    <row r="19" spans="1:65">
      <c r="A19" t="s">
        <v>61</v>
      </c>
      <c r="B19" s="1">
        <v>0</v>
      </c>
      <c r="C19" s="1">
        <v>30</v>
      </c>
      <c r="D19" s="1">
        <v>0</v>
      </c>
      <c r="E19" s="1">
        <v>30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30</v>
      </c>
      <c r="L19" s="1">
        <v>30</v>
      </c>
      <c r="M19" s="1">
        <v>0</v>
      </c>
      <c r="N19" s="1">
        <v>0</v>
      </c>
      <c r="O19" s="1">
        <v>0.5</v>
      </c>
      <c r="P19" s="1">
        <v>0</v>
      </c>
      <c r="Q19" s="1">
        <v>0.125</v>
      </c>
      <c r="R19" s="1">
        <v>0.125</v>
      </c>
      <c r="S19" s="1">
        <v>0</v>
      </c>
      <c r="T19" s="1">
        <v>0</v>
      </c>
      <c r="U19" s="1">
        <v>0</v>
      </c>
      <c r="V19" s="1">
        <v>0.25</v>
      </c>
      <c r="W19" s="1">
        <v>0.25</v>
      </c>
      <c r="X19" s="1">
        <v>0</v>
      </c>
      <c r="Y19" s="1">
        <v>0.5</v>
      </c>
      <c r="Z19" s="1">
        <v>0.5</v>
      </c>
      <c r="AA19" s="1">
        <v>0</v>
      </c>
      <c r="AB19" s="1">
        <v>0</v>
      </c>
      <c r="AC19" s="1">
        <v>0</v>
      </c>
      <c r="AD19" s="1">
        <v>0</v>
      </c>
      <c r="AE19" s="1">
        <v>7</v>
      </c>
      <c r="AF19" s="1">
        <v>45</v>
      </c>
      <c r="AG19" s="1">
        <v>0</v>
      </c>
      <c r="AH19" s="1">
        <v>0</v>
      </c>
      <c r="AI19" s="1">
        <v>6</v>
      </c>
      <c r="AJ19" s="1">
        <v>0</v>
      </c>
      <c r="AK19" s="1">
        <v>40</v>
      </c>
      <c r="AL19" s="1">
        <v>30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30</v>
      </c>
      <c r="AS19" s="1">
        <v>0</v>
      </c>
      <c r="AT19" s="1">
        <v>4</v>
      </c>
      <c r="AU19" s="1">
        <v>0</v>
      </c>
      <c r="AV19" s="1">
        <v>0</v>
      </c>
      <c r="AW19" s="1">
        <v>30</v>
      </c>
      <c r="AX19" s="1">
        <v>0</v>
      </c>
      <c r="AY19" s="1">
        <v>0</v>
      </c>
      <c r="AZ19" s="1">
        <v>0</v>
      </c>
      <c r="BA19" s="1">
        <v>50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>
        <v>20</v>
      </c>
      <c r="BM19">
        <v>19</v>
      </c>
    </row>
    <row r="20" spans="1:65">
      <c r="A20" t="s">
        <v>62</v>
      </c>
      <c r="B20" s="1">
        <v>0</v>
      </c>
      <c r="C20" s="1">
        <v>0</v>
      </c>
      <c r="D20" s="1">
        <v>3</v>
      </c>
      <c r="E20" s="1">
        <v>0</v>
      </c>
      <c r="F20" s="1">
        <v>0</v>
      </c>
      <c r="G20" s="1">
        <v>0</v>
      </c>
      <c r="H20" s="1">
        <v>30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60</v>
      </c>
      <c r="O20" s="1">
        <v>0.5</v>
      </c>
      <c r="P20" s="1">
        <v>0</v>
      </c>
      <c r="Q20" s="1">
        <v>0</v>
      </c>
      <c r="R20" s="1">
        <v>0.125</v>
      </c>
      <c r="S20" s="1">
        <v>0.125</v>
      </c>
      <c r="T20" s="1">
        <v>0</v>
      </c>
      <c r="U20" s="1">
        <v>0</v>
      </c>
      <c r="V20" s="1">
        <v>0.25</v>
      </c>
      <c r="W20" s="1">
        <v>0.25</v>
      </c>
      <c r="X20" s="1">
        <v>0</v>
      </c>
      <c r="Y20" s="1">
        <v>0.5</v>
      </c>
      <c r="Z20" s="1">
        <v>0.75</v>
      </c>
      <c r="AA20" s="1">
        <v>0.5</v>
      </c>
      <c r="AB20" s="1">
        <v>0</v>
      </c>
      <c r="AC20" s="1">
        <v>0</v>
      </c>
      <c r="AD20" s="1">
        <v>0</v>
      </c>
      <c r="AE20" s="1">
        <v>7</v>
      </c>
      <c r="AF20" s="1">
        <v>45</v>
      </c>
      <c r="AG20" s="1">
        <v>0</v>
      </c>
      <c r="AH20" s="1">
        <v>0</v>
      </c>
      <c r="AI20" s="1">
        <v>3</v>
      </c>
      <c r="AJ20" s="1">
        <v>36</v>
      </c>
      <c r="AK20" s="1">
        <v>20</v>
      </c>
      <c r="AL20" s="1">
        <v>40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30</v>
      </c>
      <c r="AS20" s="1">
        <v>0</v>
      </c>
      <c r="AT20" s="1">
        <v>4</v>
      </c>
      <c r="AU20" s="1">
        <v>10</v>
      </c>
      <c r="AV20" s="1">
        <v>0</v>
      </c>
      <c r="AW20" s="1">
        <v>20</v>
      </c>
      <c r="AX20" s="1">
        <v>0</v>
      </c>
      <c r="AY20" s="1">
        <v>0</v>
      </c>
      <c r="AZ20" s="1">
        <v>0</v>
      </c>
      <c r="BA20" s="1">
        <v>50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>
        <v>21</v>
      </c>
      <c r="BM20">
        <v>20</v>
      </c>
    </row>
    <row r="21" spans="1:65">
      <c r="A21" t="s">
        <v>63</v>
      </c>
      <c r="B21" s="1">
        <v>0</v>
      </c>
      <c r="C21" s="1">
        <v>0</v>
      </c>
      <c r="D21" s="1">
        <v>0</v>
      </c>
      <c r="E21" s="1">
        <v>30</v>
      </c>
      <c r="F21" s="1">
        <v>0</v>
      </c>
      <c r="G21" s="1">
        <v>0</v>
      </c>
      <c r="H21" s="1">
        <v>0</v>
      </c>
      <c r="I21" s="1">
        <v>0</v>
      </c>
      <c r="J21" s="1">
        <v>30</v>
      </c>
      <c r="K21" s="1">
        <v>0</v>
      </c>
      <c r="L21" s="1">
        <v>30</v>
      </c>
      <c r="M21" s="1">
        <v>30</v>
      </c>
      <c r="N21" s="1">
        <v>0</v>
      </c>
      <c r="O21" s="1">
        <v>0.5</v>
      </c>
      <c r="P21" s="1">
        <v>0</v>
      </c>
      <c r="Q21" s="1">
        <v>0</v>
      </c>
      <c r="R21" s="1">
        <v>0.125</v>
      </c>
      <c r="S21" s="1">
        <v>0</v>
      </c>
      <c r="T21" s="1">
        <v>0.125</v>
      </c>
      <c r="U21" s="1">
        <v>0</v>
      </c>
      <c r="V21" s="1">
        <v>0.25</v>
      </c>
      <c r="W21" s="1">
        <v>0.25</v>
      </c>
      <c r="X21" s="1">
        <v>0</v>
      </c>
      <c r="Y21" s="1">
        <v>0.5</v>
      </c>
      <c r="Z21" s="1">
        <v>0.75</v>
      </c>
      <c r="AA21" s="1">
        <v>0</v>
      </c>
      <c r="AB21" s="1">
        <v>0</v>
      </c>
      <c r="AC21" s="1">
        <v>0</v>
      </c>
      <c r="AD21" s="1">
        <v>0</v>
      </c>
      <c r="AE21" s="1">
        <v>7</v>
      </c>
      <c r="AF21" s="1">
        <v>45</v>
      </c>
      <c r="AG21" s="1">
        <v>0</v>
      </c>
      <c r="AH21" s="1">
        <v>0</v>
      </c>
      <c r="AI21" s="1">
        <v>3</v>
      </c>
      <c r="AJ21" s="1">
        <v>42</v>
      </c>
      <c r="AK21" s="1">
        <v>40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30</v>
      </c>
      <c r="AS21" s="1">
        <v>0</v>
      </c>
      <c r="AT21" s="1">
        <v>4</v>
      </c>
      <c r="AU21" s="1">
        <v>0</v>
      </c>
      <c r="AV21" s="1">
        <v>0</v>
      </c>
      <c r="AW21" s="1">
        <v>21</v>
      </c>
      <c r="AX21" s="1">
        <v>0</v>
      </c>
      <c r="AY21" s="1">
        <v>0</v>
      </c>
      <c r="AZ21" s="1">
        <v>0</v>
      </c>
      <c r="BA21" s="1">
        <v>50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>
        <v>22</v>
      </c>
      <c r="BM21">
        <v>21</v>
      </c>
    </row>
    <row r="22" spans="1:65">
      <c r="A22" t="s">
        <v>64</v>
      </c>
      <c r="B22" s="1">
        <v>0</v>
      </c>
      <c r="C22" s="1">
        <v>0</v>
      </c>
      <c r="D22" s="1">
        <v>0</v>
      </c>
      <c r="E22" s="1">
        <v>15</v>
      </c>
      <c r="F22" s="1">
        <v>0</v>
      </c>
      <c r="G22" s="1">
        <v>0</v>
      </c>
      <c r="H22" s="1">
        <v>0</v>
      </c>
      <c r="I22" s="1">
        <v>0</v>
      </c>
      <c r="J22" s="1">
        <v>45</v>
      </c>
      <c r="K22" s="1">
        <v>0</v>
      </c>
      <c r="L22" s="1">
        <v>30</v>
      </c>
      <c r="M22" s="1">
        <v>30</v>
      </c>
      <c r="N22" s="1">
        <v>0</v>
      </c>
      <c r="O22" s="1">
        <v>0.5</v>
      </c>
      <c r="P22" s="1">
        <v>0</v>
      </c>
      <c r="Q22" s="1">
        <v>0.125</v>
      </c>
      <c r="R22" s="1">
        <v>0.125</v>
      </c>
      <c r="S22" s="1">
        <v>0</v>
      </c>
      <c r="T22" s="1">
        <v>0</v>
      </c>
      <c r="U22" s="1">
        <v>0</v>
      </c>
      <c r="V22" s="1">
        <v>0.25</v>
      </c>
      <c r="W22" s="1">
        <v>0.25</v>
      </c>
      <c r="X22" s="1">
        <v>0</v>
      </c>
      <c r="Y22" s="1">
        <v>0.5</v>
      </c>
      <c r="Z22" s="1">
        <v>0.5</v>
      </c>
      <c r="AA22" s="1">
        <v>0</v>
      </c>
      <c r="AB22" s="1">
        <v>0</v>
      </c>
      <c r="AC22" s="1">
        <v>0</v>
      </c>
      <c r="AD22" s="1">
        <v>0</v>
      </c>
      <c r="AE22" s="1">
        <v>7</v>
      </c>
      <c r="AF22" s="1">
        <v>45</v>
      </c>
      <c r="AG22" s="1">
        <v>0</v>
      </c>
      <c r="AH22" s="1">
        <v>0</v>
      </c>
      <c r="AI22" s="1">
        <v>4.5</v>
      </c>
      <c r="AJ22" s="1">
        <v>0</v>
      </c>
      <c r="AK22" s="1">
        <v>40</v>
      </c>
      <c r="AL22" s="1">
        <v>36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30</v>
      </c>
      <c r="AS22" s="1">
        <v>0</v>
      </c>
      <c r="AT22" s="1">
        <v>5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70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>
        <v>23</v>
      </c>
      <c r="BM22">
        <v>22</v>
      </c>
    </row>
    <row r="23" spans="1:65">
      <c r="A23" t="s">
        <v>65</v>
      </c>
      <c r="B23" s="1">
        <v>0</v>
      </c>
      <c r="C23" s="1">
        <v>0</v>
      </c>
      <c r="D23" s="1">
        <v>0</v>
      </c>
      <c r="E23" s="1">
        <v>30</v>
      </c>
      <c r="F23" s="1">
        <v>90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30</v>
      </c>
      <c r="M23" s="1">
        <v>30</v>
      </c>
      <c r="N23" s="1">
        <v>0</v>
      </c>
      <c r="O23" s="1">
        <v>0.5</v>
      </c>
      <c r="P23" s="1">
        <v>0</v>
      </c>
      <c r="Q23" s="1">
        <v>0.25</v>
      </c>
      <c r="R23" s="1">
        <v>0.125</v>
      </c>
      <c r="S23" s="1">
        <v>0</v>
      </c>
      <c r="T23" s="1">
        <v>0</v>
      </c>
      <c r="U23" s="1">
        <v>0.125</v>
      </c>
      <c r="V23" s="1">
        <v>0.375</v>
      </c>
      <c r="W23" s="1">
        <v>0.25</v>
      </c>
      <c r="X23" s="1">
        <v>0</v>
      </c>
      <c r="Y23" s="1">
        <v>0.25</v>
      </c>
      <c r="Z23" s="1">
        <v>0.5</v>
      </c>
      <c r="AA23" s="1">
        <v>0</v>
      </c>
      <c r="AB23" s="1">
        <v>0</v>
      </c>
      <c r="AC23" s="1">
        <v>0</v>
      </c>
      <c r="AD23" s="1">
        <v>0</v>
      </c>
      <c r="AE23" s="1">
        <v>4</v>
      </c>
      <c r="AF23" s="1">
        <v>23</v>
      </c>
      <c r="AG23" s="1">
        <v>0</v>
      </c>
      <c r="AH23" s="1">
        <v>0</v>
      </c>
      <c r="AI23" s="1">
        <v>4.5</v>
      </c>
      <c r="AJ23" s="1">
        <v>12</v>
      </c>
      <c r="AK23" s="1">
        <v>40</v>
      </c>
      <c r="AL23" s="1">
        <v>24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30</v>
      </c>
      <c r="AS23" s="1">
        <v>0</v>
      </c>
      <c r="AT23" s="1">
        <v>4</v>
      </c>
      <c r="AU23" s="1">
        <v>0</v>
      </c>
      <c r="AV23" s="1">
        <v>0</v>
      </c>
      <c r="AW23" s="1">
        <v>20</v>
      </c>
      <c r="AX23" s="1">
        <v>0</v>
      </c>
      <c r="AY23" s="1">
        <v>0</v>
      </c>
      <c r="AZ23" s="1">
        <v>0</v>
      </c>
      <c r="BA23" s="1">
        <v>50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>
        <v>24</v>
      </c>
      <c r="BM23">
        <v>23</v>
      </c>
    </row>
    <row r="24" spans="1:65">
      <c r="A24" t="s">
        <v>66</v>
      </c>
      <c r="B24" s="1">
        <v>0</v>
      </c>
      <c r="C24" s="1">
        <v>30</v>
      </c>
      <c r="D24" s="1">
        <v>0</v>
      </c>
      <c r="E24" s="1">
        <v>0</v>
      </c>
      <c r="F24" s="1">
        <v>60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30</v>
      </c>
      <c r="M24" s="1">
        <v>30</v>
      </c>
      <c r="N24" s="1">
        <v>0</v>
      </c>
      <c r="O24" s="1">
        <v>0.5</v>
      </c>
      <c r="P24" s="1">
        <v>0</v>
      </c>
      <c r="Q24" s="1">
        <v>0.25</v>
      </c>
      <c r="R24" s="1">
        <v>0.125</v>
      </c>
      <c r="S24" s="1">
        <v>0</v>
      </c>
      <c r="T24" s="1">
        <v>0</v>
      </c>
      <c r="U24" s="1">
        <v>0.125</v>
      </c>
      <c r="V24" s="1">
        <v>0.375</v>
      </c>
      <c r="W24" s="1">
        <v>0.25</v>
      </c>
      <c r="X24" s="1">
        <v>0</v>
      </c>
      <c r="Y24" s="1">
        <v>0.5</v>
      </c>
      <c r="Z24" s="1">
        <v>0.5</v>
      </c>
      <c r="AA24" s="1">
        <v>0</v>
      </c>
      <c r="AB24" s="1">
        <v>0</v>
      </c>
      <c r="AC24" s="1">
        <v>0</v>
      </c>
      <c r="AD24" s="1">
        <v>0</v>
      </c>
      <c r="AE24" s="1">
        <v>7</v>
      </c>
      <c r="AF24" s="1">
        <v>45</v>
      </c>
      <c r="AG24" s="1">
        <v>0</v>
      </c>
      <c r="AH24" s="1">
        <v>0</v>
      </c>
      <c r="AI24" s="1">
        <v>4.5</v>
      </c>
      <c r="AJ24" s="1">
        <v>24</v>
      </c>
      <c r="AK24" s="1">
        <v>40</v>
      </c>
      <c r="AL24" s="1">
        <v>12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30</v>
      </c>
      <c r="AS24" s="1">
        <v>0</v>
      </c>
      <c r="AT24" s="1">
        <v>4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72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>
        <v>25</v>
      </c>
      <c r="BM24">
        <v>24</v>
      </c>
    </row>
    <row r="25" spans="1:65">
      <c r="A25" t="s">
        <v>67</v>
      </c>
      <c r="B25" s="1">
        <v>0</v>
      </c>
      <c r="C25" s="1">
        <v>0</v>
      </c>
      <c r="D25" s="1">
        <v>30</v>
      </c>
      <c r="E25" s="1">
        <v>0</v>
      </c>
      <c r="F25" s="1">
        <v>40</v>
      </c>
      <c r="G25" s="1">
        <v>0</v>
      </c>
      <c r="H25" s="1">
        <v>0</v>
      </c>
      <c r="I25" s="1">
        <v>0</v>
      </c>
      <c r="J25" s="1">
        <v>0</v>
      </c>
      <c r="K25" s="1">
        <v>26</v>
      </c>
      <c r="L25" s="1">
        <v>0</v>
      </c>
      <c r="M25" s="1">
        <v>30</v>
      </c>
      <c r="N25" s="1">
        <v>0</v>
      </c>
      <c r="O25" s="1">
        <v>0.5</v>
      </c>
      <c r="P25" s="1">
        <v>0</v>
      </c>
      <c r="Q25" s="1">
        <v>0.25</v>
      </c>
      <c r="R25" s="1">
        <v>0</v>
      </c>
      <c r="S25" s="1">
        <v>0</v>
      </c>
      <c r="T25" s="1">
        <v>0</v>
      </c>
      <c r="U25" s="1">
        <v>0.125</v>
      </c>
      <c r="V25" s="1">
        <v>0.375</v>
      </c>
      <c r="W25" s="1">
        <v>0.25</v>
      </c>
      <c r="X25" s="1">
        <v>0</v>
      </c>
      <c r="Y25" s="1">
        <v>0</v>
      </c>
      <c r="Z25" s="1">
        <v>0.5</v>
      </c>
      <c r="AA25" s="1">
        <v>0</v>
      </c>
      <c r="AB25" s="1">
        <v>0</v>
      </c>
      <c r="AC25" s="1">
        <v>0</v>
      </c>
      <c r="AD25" s="1">
        <v>0</v>
      </c>
      <c r="AE25" s="1">
        <v>7</v>
      </c>
      <c r="AF25" s="1">
        <v>45</v>
      </c>
      <c r="AG25" s="1">
        <v>0</v>
      </c>
      <c r="AH25" s="1">
        <v>0</v>
      </c>
      <c r="AI25" s="1">
        <v>6</v>
      </c>
      <c r="AJ25" s="1">
        <v>36</v>
      </c>
      <c r="AK25" s="1">
        <v>40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36</v>
      </c>
      <c r="AS25" s="1">
        <v>0</v>
      </c>
      <c r="AT25" s="1">
        <v>4</v>
      </c>
      <c r="AU25" s="1">
        <v>0</v>
      </c>
      <c r="AV25" s="1">
        <v>0</v>
      </c>
      <c r="AW25" s="1">
        <v>10</v>
      </c>
      <c r="AX25" s="1">
        <v>0</v>
      </c>
      <c r="AY25" s="1">
        <v>0</v>
      </c>
      <c r="AZ25" s="1">
        <v>0</v>
      </c>
      <c r="BA25" s="1">
        <v>60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>
        <v>26</v>
      </c>
      <c r="BM25">
        <v>25</v>
      </c>
    </row>
    <row r="26" spans="1:65">
      <c r="A26" t="s">
        <v>68</v>
      </c>
      <c r="B26" s="1">
        <v>15</v>
      </c>
      <c r="C26" s="1">
        <v>0</v>
      </c>
      <c r="D26" s="1">
        <v>0</v>
      </c>
      <c r="E26" s="1">
        <v>0</v>
      </c>
      <c r="F26" s="1">
        <v>45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30</v>
      </c>
      <c r="M26" s="1">
        <v>30</v>
      </c>
      <c r="N26" s="1">
        <v>0</v>
      </c>
      <c r="O26" s="1">
        <v>0.5</v>
      </c>
      <c r="P26" s="1">
        <v>0</v>
      </c>
      <c r="Q26" s="1">
        <v>0.25</v>
      </c>
      <c r="R26" s="1">
        <v>0.125</v>
      </c>
      <c r="S26" s="1">
        <v>0</v>
      </c>
      <c r="T26" s="1">
        <v>0</v>
      </c>
      <c r="U26" s="1">
        <v>0.125</v>
      </c>
      <c r="V26" s="1">
        <v>0.375</v>
      </c>
      <c r="W26" s="1">
        <v>0.25</v>
      </c>
      <c r="X26" s="1">
        <v>0</v>
      </c>
      <c r="Y26" s="1">
        <v>0</v>
      </c>
      <c r="Z26" s="1">
        <v>0.5</v>
      </c>
      <c r="AA26" s="1">
        <v>0</v>
      </c>
      <c r="AB26" s="1">
        <v>0</v>
      </c>
      <c r="AC26" s="1">
        <v>0</v>
      </c>
      <c r="AD26" s="1">
        <v>0</v>
      </c>
      <c r="AE26" s="1">
        <v>7</v>
      </c>
      <c r="AF26" s="1">
        <v>45</v>
      </c>
      <c r="AG26" s="1">
        <v>0</v>
      </c>
      <c r="AH26" s="1">
        <v>0</v>
      </c>
      <c r="AI26" s="1">
        <v>4.5</v>
      </c>
      <c r="AJ26" s="1">
        <v>36</v>
      </c>
      <c r="AK26" s="1">
        <v>40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36</v>
      </c>
      <c r="AS26" s="1">
        <v>0</v>
      </c>
      <c r="AT26" s="1">
        <v>3</v>
      </c>
      <c r="AU26" s="1">
        <v>0</v>
      </c>
      <c r="AV26" s="1">
        <v>0</v>
      </c>
      <c r="AW26" s="1">
        <v>20</v>
      </c>
      <c r="AX26" s="1">
        <v>0</v>
      </c>
      <c r="AY26" s="1">
        <v>0</v>
      </c>
      <c r="AZ26" s="1">
        <v>0</v>
      </c>
      <c r="BA26" s="1">
        <v>50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>
        <v>27</v>
      </c>
      <c r="BM26">
        <v>26</v>
      </c>
    </row>
    <row r="27" spans="1:65">
      <c r="A27" t="s">
        <v>69</v>
      </c>
      <c r="B27" s="1">
        <v>30</v>
      </c>
      <c r="C27" s="1">
        <v>0</v>
      </c>
      <c r="D27" s="1">
        <v>0</v>
      </c>
      <c r="E27" s="1">
        <v>0</v>
      </c>
      <c r="F27" s="1">
        <v>25</v>
      </c>
      <c r="G27" s="1">
        <v>0</v>
      </c>
      <c r="H27" s="1">
        <v>0</v>
      </c>
      <c r="I27" s="1">
        <v>0</v>
      </c>
      <c r="J27" s="1">
        <v>0</v>
      </c>
      <c r="K27" s="1">
        <v>26</v>
      </c>
      <c r="L27" s="1">
        <v>0</v>
      </c>
      <c r="M27" s="1">
        <v>30</v>
      </c>
      <c r="N27" s="1">
        <v>0</v>
      </c>
      <c r="O27" s="1">
        <v>0.5</v>
      </c>
      <c r="P27" s="1">
        <v>0</v>
      </c>
      <c r="Q27" s="1">
        <v>0.25</v>
      </c>
      <c r="R27" s="1">
        <v>0</v>
      </c>
      <c r="S27" s="1">
        <v>0</v>
      </c>
      <c r="T27" s="1">
        <v>0</v>
      </c>
      <c r="U27" s="1">
        <v>0.25</v>
      </c>
      <c r="V27" s="1">
        <v>0.25</v>
      </c>
      <c r="W27" s="1">
        <v>0.25</v>
      </c>
      <c r="X27" s="1">
        <v>0</v>
      </c>
      <c r="Y27" s="1">
        <v>0.25</v>
      </c>
      <c r="Z27" s="1">
        <v>0.5</v>
      </c>
      <c r="AA27" s="1">
        <v>0</v>
      </c>
      <c r="AB27" s="1">
        <v>0</v>
      </c>
      <c r="AC27" s="1">
        <v>0</v>
      </c>
      <c r="AD27" s="1">
        <v>0</v>
      </c>
      <c r="AE27" s="1">
        <v>6.5</v>
      </c>
      <c r="AF27" s="1">
        <v>45</v>
      </c>
      <c r="AG27" s="1">
        <v>0</v>
      </c>
      <c r="AH27" s="1">
        <v>0</v>
      </c>
      <c r="AI27" s="1">
        <v>4.5</v>
      </c>
      <c r="AJ27" s="1">
        <v>13</v>
      </c>
      <c r="AK27" s="1">
        <v>50</v>
      </c>
      <c r="AL27" s="1">
        <v>24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24</v>
      </c>
      <c r="AS27" s="1">
        <v>0</v>
      </c>
      <c r="AT27" s="1">
        <v>3</v>
      </c>
      <c r="AU27" s="1">
        <v>0</v>
      </c>
      <c r="AV27" s="1">
        <v>0</v>
      </c>
      <c r="AW27" s="1">
        <v>10</v>
      </c>
      <c r="AX27" s="1">
        <v>0</v>
      </c>
      <c r="AY27" s="1">
        <v>0</v>
      </c>
      <c r="AZ27" s="1">
        <v>0</v>
      </c>
      <c r="BA27" s="1">
        <v>50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>
        <v>28</v>
      </c>
      <c r="BM27">
        <v>27</v>
      </c>
    </row>
    <row r="28" spans="1:65">
      <c r="A28" t="s">
        <v>70</v>
      </c>
      <c r="B28" s="1">
        <v>0</v>
      </c>
      <c r="C28" s="1">
        <v>0</v>
      </c>
      <c r="D28" s="1">
        <v>60</v>
      </c>
      <c r="E28" s="1">
        <v>15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15</v>
      </c>
      <c r="L28" s="1">
        <v>0</v>
      </c>
      <c r="M28" s="1">
        <v>30</v>
      </c>
      <c r="N28" s="1">
        <v>0</v>
      </c>
      <c r="O28" s="1">
        <v>0.5</v>
      </c>
      <c r="P28" s="1">
        <v>0</v>
      </c>
      <c r="Q28" s="1">
        <v>0</v>
      </c>
      <c r="R28" s="1">
        <v>0.125</v>
      </c>
      <c r="S28" s="1">
        <v>0</v>
      </c>
      <c r="T28" s="1">
        <v>0</v>
      </c>
      <c r="U28" s="1">
        <v>0</v>
      </c>
      <c r="V28" s="1">
        <v>0.375</v>
      </c>
      <c r="W28" s="1">
        <v>0.25</v>
      </c>
      <c r="X28" s="1">
        <v>0</v>
      </c>
      <c r="Y28" s="1">
        <v>0.5</v>
      </c>
      <c r="Z28" s="1">
        <v>0.625</v>
      </c>
      <c r="AA28" s="1">
        <v>0.5</v>
      </c>
      <c r="AB28" s="1">
        <v>0</v>
      </c>
      <c r="AC28" s="1">
        <v>0</v>
      </c>
      <c r="AD28" s="1">
        <v>0</v>
      </c>
      <c r="AE28" s="1">
        <v>0.12</v>
      </c>
      <c r="AF28" s="1">
        <v>23</v>
      </c>
      <c r="AG28" s="1">
        <v>0</v>
      </c>
      <c r="AH28" s="1">
        <v>0</v>
      </c>
      <c r="AI28" s="1">
        <v>6</v>
      </c>
      <c r="AJ28" s="1">
        <v>36</v>
      </c>
      <c r="AK28" s="1">
        <v>40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36</v>
      </c>
      <c r="AS28" s="1">
        <v>0</v>
      </c>
      <c r="AT28" s="1">
        <v>3</v>
      </c>
      <c r="AU28" s="1">
        <v>0</v>
      </c>
      <c r="AV28" s="1">
        <v>0</v>
      </c>
      <c r="AW28" s="1">
        <v>10</v>
      </c>
      <c r="AX28" s="1">
        <v>0</v>
      </c>
      <c r="AY28" s="1">
        <v>0</v>
      </c>
      <c r="AZ28" s="1">
        <v>0</v>
      </c>
      <c r="BA28" s="1">
        <v>60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>
        <v>29</v>
      </c>
      <c r="BM28">
        <v>28</v>
      </c>
    </row>
    <row r="29" spans="1:65">
      <c r="A29" t="s">
        <v>71</v>
      </c>
      <c r="B29" s="1">
        <v>0</v>
      </c>
      <c r="C29" s="1">
        <v>0</v>
      </c>
      <c r="D29" s="1">
        <v>30</v>
      </c>
      <c r="E29" s="1">
        <v>30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26</v>
      </c>
      <c r="L29" s="1">
        <v>0</v>
      </c>
      <c r="M29" s="1">
        <v>30</v>
      </c>
      <c r="N29" s="1">
        <v>0</v>
      </c>
      <c r="O29" s="1">
        <v>0</v>
      </c>
      <c r="P29" s="1">
        <v>0.625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0.375</v>
      </c>
      <c r="W29" s="1">
        <v>0.375</v>
      </c>
      <c r="X29" s="1">
        <v>0</v>
      </c>
      <c r="Y29" s="1">
        <v>0</v>
      </c>
      <c r="Z29" s="1">
        <v>0.625</v>
      </c>
      <c r="AA29" s="1">
        <v>0.25</v>
      </c>
      <c r="AB29" s="1">
        <v>0</v>
      </c>
      <c r="AC29" s="1">
        <v>0</v>
      </c>
      <c r="AD29" s="1">
        <v>10</v>
      </c>
      <c r="AE29" s="1">
        <v>0</v>
      </c>
      <c r="AF29" s="1">
        <v>30</v>
      </c>
      <c r="AG29" s="1">
        <v>0</v>
      </c>
      <c r="AH29" s="1">
        <v>0</v>
      </c>
      <c r="AI29" s="1">
        <v>6</v>
      </c>
      <c r="AJ29" s="1">
        <v>24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36</v>
      </c>
      <c r="AS29" s="1">
        <v>0</v>
      </c>
      <c r="AT29" s="1">
        <v>0</v>
      </c>
      <c r="AU29" s="1">
        <v>0</v>
      </c>
      <c r="AV29" s="1">
        <v>0</v>
      </c>
      <c r="AW29" s="1">
        <v>30</v>
      </c>
      <c r="AX29" s="1">
        <v>0</v>
      </c>
      <c r="AY29" s="1">
        <v>0</v>
      </c>
      <c r="AZ29" s="1">
        <v>0</v>
      </c>
      <c r="BA29" s="1">
        <v>50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>
        <v>30</v>
      </c>
      <c r="BM29">
        <v>29</v>
      </c>
    </row>
    <row r="30" spans="1:65">
      <c r="A30" t="s">
        <v>72</v>
      </c>
      <c r="B30" s="1">
        <v>40</v>
      </c>
      <c r="C30" s="1">
        <v>0</v>
      </c>
      <c r="D30" s="1">
        <v>0</v>
      </c>
      <c r="E30" s="1">
        <v>40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26</v>
      </c>
      <c r="L30" s="1">
        <v>0</v>
      </c>
      <c r="M30" s="1">
        <v>30</v>
      </c>
      <c r="N30" s="1">
        <v>0</v>
      </c>
      <c r="O30" s="1">
        <v>0</v>
      </c>
      <c r="P30" s="1">
        <v>0.5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0.375</v>
      </c>
      <c r="W30" s="1">
        <v>0.375</v>
      </c>
      <c r="X30" s="1">
        <v>0</v>
      </c>
      <c r="Y30" s="1">
        <v>0</v>
      </c>
      <c r="Z30" s="1">
        <v>0.5</v>
      </c>
      <c r="AA30" s="1">
        <v>0</v>
      </c>
      <c r="AB30" s="1">
        <v>0</v>
      </c>
      <c r="AC30" s="1">
        <v>0</v>
      </c>
      <c r="AD30" s="1">
        <v>10</v>
      </c>
      <c r="AE30" s="1">
        <v>0</v>
      </c>
      <c r="AF30" s="1">
        <v>30</v>
      </c>
      <c r="AG30" s="1">
        <v>0</v>
      </c>
      <c r="AH30" s="1">
        <v>0</v>
      </c>
      <c r="AI30" s="1">
        <v>6</v>
      </c>
      <c r="AJ30" s="1">
        <v>0</v>
      </c>
      <c r="AK30" s="1">
        <v>50</v>
      </c>
      <c r="AL30" s="1">
        <v>24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36</v>
      </c>
      <c r="AS30" s="1">
        <v>0</v>
      </c>
      <c r="AT30" s="1">
        <v>0</v>
      </c>
      <c r="AU30" s="1">
        <v>0</v>
      </c>
      <c r="AV30" s="1">
        <v>0</v>
      </c>
      <c r="AW30" s="1">
        <v>20</v>
      </c>
      <c r="AX30" s="1">
        <v>0</v>
      </c>
      <c r="AY30" s="1">
        <v>0</v>
      </c>
      <c r="AZ30" s="1">
        <v>0</v>
      </c>
      <c r="BA30" s="1">
        <v>60</v>
      </c>
      <c r="BB30" s="1">
        <v>0</v>
      </c>
      <c r="BC30" s="1">
        <v>96</v>
      </c>
      <c r="BD30" s="1">
        <v>90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>
        <v>31</v>
      </c>
      <c r="BM30">
        <v>30</v>
      </c>
    </row>
    <row r="31" spans="1:65">
      <c r="A31" t="s">
        <v>73</v>
      </c>
      <c r="B31" s="1">
        <v>0</v>
      </c>
      <c r="C31" s="1">
        <v>0</v>
      </c>
      <c r="D31" s="1">
        <v>30</v>
      </c>
      <c r="E31" s="1">
        <v>30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26</v>
      </c>
      <c r="L31" s="1">
        <v>0</v>
      </c>
      <c r="M31" s="1">
        <v>30</v>
      </c>
      <c r="N31" s="1">
        <v>0</v>
      </c>
      <c r="O31" s="1">
        <v>0</v>
      </c>
      <c r="P31" s="1">
        <v>0.66666666699999999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0.25</v>
      </c>
      <c r="W31" s="1">
        <v>0.375</v>
      </c>
      <c r="X31" s="1">
        <v>0</v>
      </c>
      <c r="Y31" s="1">
        <v>0</v>
      </c>
      <c r="Z31" s="1">
        <v>0.66666666699999999</v>
      </c>
      <c r="AA31" s="1">
        <v>14</v>
      </c>
      <c r="AB31" s="1">
        <v>0</v>
      </c>
      <c r="AC31" s="1">
        <v>0</v>
      </c>
      <c r="AD31" s="1">
        <v>15</v>
      </c>
      <c r="AE31" s="1">
        <v>0</v>
      </c>
      <c r="AF31" s="1">
        <v>45</v>
      </c>
      <c r="AG31" s="1">
        <v>0</v>
      </c>
      <c r="AH31" s="1">
        <v>0</v>
      </c>
      <c r="AI31" s="1">
        <v>4.5</v>
      </c>
      <c r="AJ31" s="1">
        <v>24</v>
      </c>
      <c r="AK31" s="1">
        <v>38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12</v>
      </c>
      <c r="AS31" s="1">
        <v>0</v>
      </c>
      <c r="AT31" s="1">
        <v>0</v>
      </c>
      <c r="AU31" s="1">
        <v>5</v>
      </c>
      <c r="AV31" s="1">
        <v>0</v>
      </c>
      <c r="AW31" s="1">
        <v>20</v>
      </c>
      <c r="AX31" s="1">
        <v>0</v>
      </c>
      <c r="AY31" s="1">
        <v>0</v>
      </c>
      <c r="AZ31" s="1">
        <v>0</v>
      </c>
      <c r="BA31" s="1">
        <v>50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>
        <v>32</v>
      </c>
      <c r="BM31">
        <v>31</v>
      </c>
    </row>
    <row r="32" spans="1:65">
      <c r="A32" t="s">
        <v>74</v>
      </c>
      <c r="B32" s="1">
        <v>30</v>
      </c>
      <c r="C32" s="1">
        <v>0</v>
      </c>
      <c r="D32" s="1">
        <v>30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26</v>
      </c>
      <c r="L32" s="1">
        <v>0</v>
      </c>
      <c r="M32" s="1">
        <v>30</v>
      </c>
      <c r="N32" s="1">
        <v>0</v>
      </c>
      <c r="O32" s="1">
        <v>0</v>
      </c>
      <c r="P32" s="1">
        <v>0.5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0.375</v>
      </c>
      <c r="W32" s="1">
        <v>0.25</v>
      </c>
      <c r="X32" s="1">
        <v>0</v>
      </c>
      <c r="Y32" s="1">
        <v>0</v>
      </c>
      <c r="Z32" s="1">
        <v>0.5</v>
      </c>
      <c r="AA32" s="1">
        <v>0</v>
      </c>
      <c r="AB32" s="1">
        <v>0</v>
      </c>
      <c r="AC32" s="1">
        <v>0</v>
      </c>
      <c r="AD32" s="1">
        <v>0</v>
      </c>
      <c r="AE32" s="1">
        <v>7</v>
      </c>
      <c r="AF32" s="1">
        <v>45</v>
      </c>
      <c r="AG32" s="1">
        <v>0</v>
      </c>
      <c r="AH32" s="1">
        <v>0</v>
      </c>
      <c r="AI32" s="1">
        <v>4.5</v>
      </c>
      <c r="AJ32" s="1">
        <v>0</v>
      </c>
      <c r="AK32" s="1">
        <v>41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24</v>
      </c>
      <c r="AR32" s="1">
        <v>0</v>
      </c>
      <c r="AS32" s="1">
        <v>0</v>
      </c>
      <c r="AT32" s="1">
        <v>0</v>
      </c>
      <c r="AU32" s="1">
        <v>5</v>
      </c>
      <c r="AV32" s="1">
        <v>0</v>
      </c>
      <c r="AW32" s="1">
        <v>0</v>
      </c>
      <c r="AX32" s="1">
        <v>0</v>
      </c>
      <c r="AY32" s="1">
        <v>0</v>
      </c>
      <c r="AZ32" s="1">
        <v>60</v>
      </c>
      <c r="BA32" s="1">
        <v>0</v>
      </c>
      <c r="BB32" s="1">
        <v>0</v>
      </c>
      <c r="BC32" s="1">
        <v>64</v>
      </c>
      <c r="BD32" s="1">
        <v>90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>
        <v>33</v>
      </c>
      <c r="BM32">
        <v>32</v>
      </c>
    </row>
    <row r="33" spans="1:65">
      <c r="A33" t="s">
        <v>75</v>
      </c>
      <c r="B33" s="1">
        <v>0</v>
      </c>
      <c r="C33" s="1">
        <v>0</v>
      </c>
      <c r="D33" s="1">
        <v>120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8.6805570000000002E-3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0.125</v>
      </c>
      <c r="X33" s="1">
        <v>0</v>
      </c>
      <c r="Y33" s="1">
        <v>0</v>
      </c>
      <c r="Z33" s="1">
        <v>0.66666666699999999</v>
      </c>
      <c r="AA33" s="1">
        <v>0</v>
      </c>
      <c r="AB33" s="1">
        <v>0</v>
      </c>
      <c r="AC33" s="1">
        <v>0</v>
      </c>
      <c r="AD33" s="1">
        <v>7</v>
      </c>
      <c r="AE33" s="1">
        <v>0</v>
      </c>
      <c r="AF33" s="1">
        <v>20</v>
      </c>
      <c r="AG33" s="1">
        <v>0</v>
      </c>
      <c r="AH33" s="1">
        <v>0</v>
      </c>
      <c r="AI33" s="1">
        <v>3</v>
      </c>
      <c r="AJ33" s="1">
        <v>24</v>
      </c>
      <c r="AK33" s="1">
        <v>30</v>
      </c>
      <c r="AL33" s="1">
        <v>66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77</v>
      </c>
      <c r="BA33" s="1">
        <v>0</v>
      </c>
      <c r="BB33" s="1">
        <v>0</v>
      </c>
      <c r="BC33" s="1">
        <v>80</v>
      </c>
      <c r="BD33" s="1">
        <v>112.5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>
        <v>34</v>
      </c>
      <c r="BM33">
        <v>33</v>
      </c>
    </row>
    <row r="34" spans="1:65">
      <c r="A34" t="s">
        <v>76</v>
      </c>
      <c r="B34" s="1">
        <v>0</v>
      </c>
      <c r="C34" s="1">
        <v>0</v>
      </c>
      <c r="D34" s="1">
        <v>60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26</v>
      </c>
      <c r="L34" s="1">
        <v>0</v>
      </c>
      <c r="M34" s="1">
        <v>30</v>
      </c>
      <c r="N34" s="1">
        <v>0</v>
      </c>
      <c r="O34" s="1">
        <v>0</v>
      </c>
      <c r="P34" s="1">
        <v>8.6805570000000002E-3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0.375</v>
      </c>
      <c r="W34" s="1">
        <v>0.125</v>
      </c>
      <c r="X34" s="1">
        <v>0</v>
      </c>
      <c r="Y34" s="1">
        <v>0</v>
      </c>
      <c r="Z34" s="1">
        <v>0.66666666699999999</v>
      </c>
      <c r="AA34" s="1">
        <v>0</v>
      </c>
      <c r="AB34" s="1">
        <v>0</v>
      </c>
      <c r="AC34" s="1">
        <v>0</v>
      </c>
      <c r="AD34" s="1">
        <v>10</v>
      </c>
      <c r="AE34" s="1">
        <v>0</v>
      </c>
      <c r="AF34" s="1">
        <v>30</v>
      </c>
      <c r="AG34" s="1">
        <v>0</v>
      </c>
      <c r="AH34" s="1">
        <v>0</v>
      </c>
      <c r="AI34" s="1">
        <v>4.5</v>
      </c>
      <c r="AJ34" s="1">
        <v>0</v>
      </c>
      <c r="AK34" s="1">
        <v>40</v>
      </c>
      <c r="AL34" s="1">
        <v>66</v>
      </c>
      <c r="AM34" s="1">
        <v>0</v>
      </c>
      <c r="AN34" s="1">
        <v>0</v>
      </c>
      <c r="AO34" s="1">
        <v>0</v>
      </c>
      <c r="AP34" s="1">
        <v>0</v>
      </c>
      <c r="AQ34" s="1">
        <v>24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15</v>
      </c>
      <c r="AX34" s="1">
        <v>0</v>
      </c>
      <c r="AY34" s="1">
        <v>0</v>
      </c>
      <c r="AZ34" s="1">
        <v>50</v>
      </c>
      <c r="BA34" s="1">
        <v>0</v>
      </c>
      <c r="BB34" s="1">
        <v>0</v>
      </c>
      <c r="BC34" s="1">
        <v>80</v>
      </c>
      <c r="BD34" s="1">
        <v>112.5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>
        <v>35</v>
      </c>
      <c r="BM34">
        <v>34</v>
      </c>
    </row>
    <row r="35" spans="1:65">
      <c r="A35" t="s">
        <v>77</v>
      </c>
      <c r="B35" s="1">
        <v>0</v>
      </c>
      <c r="C35" s="1">
        <v>0</v>
      </c>
      <c r="D35" s="1">
        <v>120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0.66666666699999999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0.375</v>
      </c>
      <c r="X35" s="1">
        <v>0</v>
      </c>
      <c r="Y35" s="1">
        <v>0</v>
      </c>
      <c r="Z35" s="1">
        <v>0.66666666699999999</v>
      </c>
      <c r="AA35" s="1">
        <v>0.25</v>
      </c>
      <c r="AB35" s="1">
        <v>0</v>
      </c>
      <c r="AC35" s="1">
        <v>0</v>
      </c>
      <c r="AD35" s="1">
        <v>5</v>
      </c>
      <c r="AE35" s="1">
        <v>0</v>
      </c>
      <c r="AF35" s="1">
        <v>10</v>
      </c>
      <c r="AG35" s="1">
        <v>0</v>
      </c>
      <c r="AH35" s="1">
        <v>0</v>
      </c>
      <c r="AI35" s="1">
        <v>3</v>
      </c>
      <c r="AJ35" s="1">
        <v>36</v>
      </c>
      <c r="AK35" s="1">
        <v>40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12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70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>
        <v>36</v>
      </c>
      <c r="BM35">
        <v>35</v>
      </c>
    </row>
    <row r="36" spans="1:65">
      <c r="A36" t="s">
        <v>78</v>
      </c>
      <c r="B36" s="1">
        <v>30</v>
      </c>
      <c r="C36" s="1">
        <v>0</v>
      </c>
      <c r="D36" s="1">
        <v>40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20</v>
      </c>
      <c r="L36" s="1">
        <v>0</v>
      </c>
      <c r="M36" s="1">
        <v>30</v>
      </c>
      <c r="N36" s="1">
        <v>0</v>
      </c>
      <c r="O36" s="1">
        <v>0</v>
      </c>
      <c r="P36" s="1">
        <v>0.66666666699999999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0.375</v>
      </c>
      <c r="W36" s="1">
        <v>0.375</v>
      </c>
      <c r="X36" s="1">
        <v>0</v>
      </c>
      <c r="Y36" s="1">
        <v>0</v>
      </c>
      <c r="Z36" s="1">
        <v>0.66666666699999999</v>
      </c>
      <c r="AA36" s="1">
        <v>0.25</v>
      </c>
      <c r="AB36" s="1">
        <v>0</v>
      </c>
      <c r="AC36" s="1">
        <v>0</v>
      </c>
      <c r="AD36" s="1">
        <v>10</v>
      </c>
      <c r="AE36" s="1">
        <v>0</v>
      </c>
      <c r="AF36" s="1">
        <v>30</v>
      </c>
      <c r="AG36" s="1">
        <v>0</v>
      </c>
      <c r="AH36" s="1">
        <v>0</v>
      </c>
      <c r="AI36" s="1">
        <v>4.5</v>
      </c>
      <c r="AJ36" s="1">
        <v>24</v>
      </c>
      <c r="AK36" s="1">
        <v>40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12</v>
      </c>
      <c r="AS36" s="1">
        <v>0</v>
      </c>
      <c r="AT36" s="1">
        <v>0</v>
      </c>
      <c r="AU36" s="1">
        <v>0</v>
      </c>
      <c r="AV36" s="1">
        <v>0</v>
      </c>
      <c r="AW36" s="1">
        <v>15</v>
      </c>
      <c r="AX36" s="1">
        <v>0</v>
      </c>
      <c r="AY36" s="1">
        <v>0</v>
      </c>
      <c r="AZ36" s="1">
        <v>0</v>
      </c>
      <c r="BA36" s="1">
        <v>50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>
        <v>37</v>
      </c>
      <c r="BM36">
        <v>36</v>
      </c>
    </row>
    <row r="37" spans="1:65">
      <c r="A37" t="s">
        <v>79</v>
      </c>
      <c r="B37" s="1">
        <v>30</v>
      </c>
      <c r="C37" s="1">
        <v>0</v>
      </c>
      <c r="D37" s="1">
        <v>90</v>
      </c>
      <c r="E37" s="1">
        <v>30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0.66666666699999999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0.25</v>
      </c>
      <c r="X37" s="1">
        <v>0</v>
      </c>
      <c r="Y37" s="1">
        <v>0</v>
      </c>
      <c r="Z37" s="1">
        <v>0.66666666699999999</v>
      </c>
      <c r="AA37" s="1">
        <v>0.25</v>
      </c>
      <c r="AB37" s="1">
        <v>0</v>
      </c>
      <c r="AC37" s="1">
        <v>0</v>
      </c>
      <c r="AD37" s="1">
        <v>5</v>
      </c>
      <c r="AE37" s="1">
        <v>0</v>
      </c>
      <c r="AF37" s="1">
        <v>15</v>
      </c>
      <c r="AG37" s="1">
        <v>0</v>
      </c>
      <c r="AH37" s="1">
        <v>0</v>
      </c>
      <c r="AI37" s="1">
        <v>0</v>
      </c>
      <c r="AJ37" s="1">
        <v>36</v>
      </c>
      <c r="AK37" s="1">
        <v>40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12</v>
      </c>
      <c r="AS37" s="1">
        <v>0</v>
      </c>
      <c r="AT37" s="1">
        <v>0</v>
      </c>
      <c r="AU37" s="1">
        <v>5</v>
      </c>
      <c r="AV37" s="1">
        <v>0</v>
      </c>
      <c r="AW37" s="1">
        <v>0</v>
      </c>
      <c r="AX37" s="1">
        <v>0</v>
      </c>
      <c r="AY37" s="1">
        <v>75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>
        <v>38</v>
      </c>
      <c r="BM37">
        <v>37</v>
      </c>
    </row>
    <row r="38" spans="1:65">
      <c r="A38" t="s">
        <v>80</v>
      </c>
      <c r="B38" s="1">
        <v>0</v>
      </c>
      <c r="C38" s="1">
        <v>0</v>
      </c>
      <c r="D38" s="1">
        <v>0</v>
      </c>
      <c r="E38" s="1">
        <v>45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13</v>
      </c>
      <c r="L38" s="1">
        <v>0</v>
      </c>
      <c r="M38" s="1">
        <v>30</v>
      </c>
      <c r="N38" s="1">
        <v>0</v>
      </c>
      <c r="O38" s="1">
        <v>0</v>
      </c>
      <c r="P38" s="1">
        <v>0.66666666699999999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0.25</v>
      </c>
      <c r="W38" s="1">
        <v>0.25</v>
      </c>
      <c r="X38" s="1">
        <v>0</v>
      </c>
      <c r="Y38" s="1">
        <v>0</v>
      </c>
      <c r="Z38" s="1">
        <v>0.66666666699999999</v>
      </c>
      <c r="AA38" s="1">
        <v>0.25</v>
      </c>
      <c r="AB38" s="1">
        <v>0</v>
      </c>
      <c r="AC38" s="1">
        <v>0</v>
      </c>
      <c r="AD38" s="1">
        <v>0</v>
      </c>
      <c r="AE38" s="1">
        <v>7</v>
      </c>
      <c r="AF38" s="1">
        <v>45</v>
      </c>
      <c r="AG38" s="1">
        <v>0</v>
      </c>
      <c r="AH38" s="1">
        <v>0</v>
      </c>
      <c r="AI38" s="1">
        <v>4.8</v>
      </c>
      <c r="AJ38" s="1">
        <v>12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24</v>
      </c>
      <c r="AR38" s="1">
        <v>0</v>
      </c>
      <c r="AS38" s="1">
        <v>0</v>
      </c>
      <c r="AT38" s="1">
        <v>0</v>
      </c>
      <c r="AU38" s="1">
        <v>5</v>
      </c>
      <c r="AV38" s="1">
        <v>0</v>
      </c>
      <c r="AW38" s="1">
        <v>25</v>
      </c>
      <c r="AX38" s="1">
        <v>0</v>
      </c>
      <c r="AY38" s="1">
        <v>0</v>
      </c>
      <c r="AZ38" s="1">
        <v>0</v>
      </c>
      <c r="BA38" s="1">
        <v>0</v>
      </c>
      <c r="BB38" s="1">
        <v>50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>
        <v>39</v>
      </c>
      <c r="BM38">
        <v>38</v>
      </c>
    </row>
    <row r="39" spans="1:65">
      <c r="A39" t="s">
        <v>81</v>
      </c>
      <c r="B39" s="1">
        <v>0</v>
      </c>
      <c r="C39" s="1">
        <v>0</v>
      </c>
      <c r="D39" s="1">
        <v>120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0.66666666699999999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0.125</v>
      </c>
      <c r="X39" s="1">
        <v>0</v>
      </c>
      <c r="Y39" s="1">
        <v>0</v>
      </c>
      <c r="Z39" s="1">
        <v>0.66666666699999999</v>
      </c>
      <c r="AA39" s="1">
        <v>0.25</v>
      </c>
      <c r="AB39" s="1">
        <v>0</v>
      </c>
      <c r="AC39" s="1">
        <v>0</v>
      </c>
      <c r="AD39" s="1">
        <v>0</v>
      </c>
      <c r="AE39" s="1">
        <v>2.5</v>
      </c>
      <c r="AF39" s="1">
        <v>15</v>
      </c>
      <c r="AG39" s="1">
        <v>0</v>
      </c>
      <c r="AH39" s="1">
        <v>0</v>
      </c>
      <c r="AI39" s="1">
        <v>4.5</v>
      </c>
      <c r="AJ39" s="1">
        <v>38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76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>
        <v>40</v>
      </c>
      <c r="BM39">
        <v>39</v>
      </c>
    </row>
    <row r="40" spans="1:65">
      <c r="A40" t="s">
        <v>82</v>
      </c>
      <c r="B40" s="1">
        <v>30</v>
      </c>
      <c r="C40" s="1">
        <v>0</v>
      </c>
      <c r="D40" s="1">
        <v>0</v>
      </c>
      <c r="E40" s="1">
        <v>30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26</v>
      </c>
      <c r="L40" s="1">
        <v>0</v>
      </c>
      <c r="M40" s="1">
        <v>30</v>
      </c>
      <c r="N40" s="1">
        <v>0</v>
      </c>
      <c r="O40" s="1">
        <v>0</v>
      </c>
      <c r="P40" s="1">
        <v>0.66666666699999999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0.25</v>
      </c>
      <c r="W40" s="1">
        <v>0.125</v>
      </c>
      <c r="X40" s="1">
        <v>0</v>
      </c>
      <c r="Y40" s="1">
        <v>0</v>
      </c>
      <c r="Z40" s="1">
        <v>0.66666666699999999</v>
      </c>
      <c r="AA40" s="1">
        <v>0.25</v>
      </c>
      <c r="AB40" s="1">
        <v>0</v>
      </c>
      <c r="AC40" s="1">
        <v>0</v>
      </c>
      <c r="AD40" s="1">
        <v>0</v>
      </c>
      <c r="AE40" s="1">
        <v>7</v>
      </c>
      <c r="AF40" s="1">
        <v>45</v>
      </c>
      <c r="AG40" s="1">
        <v>0</v>
      </c>
      <c r="AH40" s="1">
        <v>0</v>
      </c>
      <c r="AI40" s="1">
        <v>0</v>
      </c>
      <c r="AJ40" s="1">
        <v>12</v>
      </c>
      <c r="AK40" s="1">
        <v>50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13</v>
      </c>
      <c r="AR40" s="1">
        <v>0</v>
      </c>
      <c r="AS40" s="1">
        <v>0</v>
      </c>
      <c r="AT40" s="1">
        <v>0</v>
      </c>
      <c r="AU40" s="1">
        <v>7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80</v>
      </c>
      <c r="BB40" s="1">
        <v>76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>
        <v>41</v>
      </c>
      <c r="BM40">
        <v>40</v>
      </c>
    </row>
    <row r="41" spans="1:65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>
        <v>42</v>
      </c>
      <c r="BM41">
        <v>41</v>
      </c>
    </row>
    <row r="42" spans="1:65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>
        <v>43</v>
      </c>
      <c r="BM42">
        <v>42</v>
      </c>
    </row>
    <row r="43" spans="1:65">
      <c r="A43" t="s">
        <v>85</v>
      </c>
      <c r="B43" s="1">
        <v>60</v>
      </c>
      <c r="C43" s="1">
        <v>0</v>
      </c>
      <c r="D43" s="1">
        <v>65</v>
      </c>
      <c r="E43" s="1">
        <v>0</v>
      </c>
      <c r="F43" s="1">
        <v>0</v>
      </c>
      <c r="G43" s="1">
        <v>30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0.5</v>
      </c>
      <c r="P43" s="1">
        <v>0</v>
      </c>
      <c r="Q43" s="1">
        <v>0.25</v>
      </c>
      <c r="R43" s="1">
        <v>0.125</v>
      </c>
      <c r="S43" s="1">
        <v>0</v>
      </c>
      <c r="T43" s="1">
        <v>0</v>
      </c>
      <c r="U43" s="1">
        <v>0</v>
      </c>
      <c r="V43" s="1">
        <v>0</v>
      </c>
      <c r="W43" s="1">
        <v>0.375</v>
      </c>
      <c r="X43" s="1">
        <v>0</v>
      </c>
      <c r="Y43" s="1">
        <v>0.5</v>
      </c>
      <c r="Z43" s="1">
        <v>0.25</v>
      </c>
      <c r="AA43" s="1">
        <v>0</v>
      </c>
      <c r="AB43" s="1">
        <v>0.125</v>
      </c>
      <c r="AC43" s="1">
        <v>0.25</v>
      </c>
      <c r="AD43" s="1">
        <v>10</v>
      </c>
      <c r="AE43" s="1">
        <v>0</v>
      </c>
      <c r="AF43" s="1">
        <v>30</v>
      </c>
      <c r="AG43" s="1">
        <v>0</v>
      </c>
      <c r="AH43" s="1">
        <v>0</v>
      </c>
      <c r="AI43" s="1">
        <v>0</v>
      </c>
      <c r="AJ43" s="1">
        <v>62</v>
      </c>
      <c r="AK43" s="1">
        <v>0</v>
      </c>
      <c r="AL43" s="1">
        <v>0</v>
      </c>
      <c r="AM43" s="1">
        <v>0</v>
      </c>
      <c r="AN43" s="1">
        <v>32</v>
      </c>
      <c r="AO43" s="1">
        <v>0</v>
      </c>
      <c r="AP43" s="1">
        <v>0</v>
      </c>
      <c r="AQ43" s="1">
        <v>12</v>
      </c>
      <c r="AR43" s="1">
        <v>36</v>
      </c>
      <c r="AS43" s="1">
        <v>0</v>
      </c>
      <c r="AT43" s="1">
        <v>0</v>
      </c>
      <c r="AU43" s="1">
        <v>5</v>
      </c>
      <c r="AV43" s="1">
        <v>45</v>
      </c>
      <c r="AW43" s="1">
        <v>30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>
        <v>44</v>
      </c>
      <c r="BM43">
        <v>43</v>
      </c>
    </row>
    <row r="44" spans="1:65">
      <c r="A44" t="s">
        <v>86</v>
      </c>
      <c r="B44" s="1">
        <v>30</v>
      </c>
      <c r="C44" s="1">
        <v>0</v>
      </c>
      <c r="D44" s="1">
        <v>0</v>
      </c>
      <c r="E44" s="1">
        <v>30</v>
      </c>
      <c r="F44" s="1">
        <v>0</v>
      </c>
      <c r="G44" s="1">
        <v>20</v>
      </c>
      <c r="H44" s="1">
        <v>0</v>
      </c>
      <c r="I44" s="1">
        <v>0</v>
      </c>
      <c r="J44" s="1">
        <v>0</v>
      </c>
      <c r="K44" s="1">
        <v>26</v>
      </c>
      <c r="L44" s="1">
        <v>0</v>
      </c>
      <c r="M44" s="1">
        <v>30</v>
      </c>
      <c r="N44" s="1">
        <v>0</v>
      </c>
      <c r="O44" s="1">
        <v>0.5</v>
      </c>
      <c r="P44" s="1">
        <v>0</v>
      </c>
      <c r="Q44" s="1">
        <v>0.25</v>
      </c>
      <c r="R44" s="1">
        <v>0.125</v>
      </c>
      <c r="S44" s="1">
        <v>0</v>
      </c>
      <c r="T44" s="1">
        <v>0</v>
      </c>
      <c r="U44" s="1">
        <v>0</v>
      </c>
      <c r="V44" s="1">
        <v>0.25</v>
      </c>
      <c r="W44" s="1">
        <v>0.375</v>
      </c>
      <c r="X44" s="1">
        <v>0</v>
      </c>
      <c r="Y44" s="1">
        <v>0.25</v>
      </c>
      <c r="Z44" s="1">
        <v>0.25</v>
      </c>
      <c r="AA44" s="1">
        <v>0</v>
      </c>
      <c r="AB44" s="1">
        <v>0.125</v>
      </c>
      <c r="AC44" s="1">
        <v>0.25</v>
      </c>
      <c r="AD44" s="1">
        <v>0</v>
      </c>
      <c r="AE44" s="1">
        <v>11</v>
      </c>
      <c r="AF44" s="1">
        <v>60</v>
      </c>
      <c r="AG44" s="1">
        <v>0</v>
      </c>
      <c r="AH44" s="1">
        <v>0</v>
      </c>
      <c r="AI44" s="1">
        <v>0</v>
      </c>
      <c r="AJ44" s="1">
        <v>24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6</v>
      </c>
      <c r="AQ44" s="1">
        <v>24</v>
      </c>
      <c r="AR44" s="1">
        <v>36</v>
      </c>
      <c r="AS44" s="1">
        <v>0</v>
      </c>
      <c r="AT44" s="1">
        <v>0</v>
      </c>
      <c r="AU44" s="1">
        <v>10</v>
      </c>
      <c r="AV44" s="1">
        <v>35</v>
      </c>
      <c r="AW44" s="1">
        <v>30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>
        <v>45</v>
      </c>
      <c r="BM44">
        <v>44</v>
      </c>
    </row>
    <row r="45" spans="1:65">
      <c r="A45" t="s">
        <v>87</v>
      </c>
      <c r="B45" s="1">
        <v>60</v>
      </c>
      <c r="C45" s="1">
        <v>0</v>
      </c>
      <c r="D45" s="1">
        <v>65</v>
      </c>
      <c r="E45" s="1">
        <v>0</v>
      </c>
      <c r="F45" s="1">
        <v>0</v>
      </c>
      <c r="G45" s="1">
        <v>30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0.5</v>
      </c>
      <c r="P45" s="1">
        <v>0</v>
      </c>
      <c r="Q45" s="1">
        <v>0.25</v>
      </c>
      <c r="R45" s="1">
        <v>0.125</v>
      </c>
      <c r="S45" s="1">
        <v>0</v>
      </c>
      <c r="T45" s="1">
        <v>0</v>
      </c>
      <c r="U45" s="1">
        <v>0</v>
      </c>
      <c r="V45" s="1">
        <v>0</v>
      </c>
      <c r="W45" s="1">
        <v>0.375</v>
      </c>
      <c r="X45" s="1">
        <v>0</v>
      </c>
      <c r="Y45" s="1">
        <v>0.5</v>
      </c>
      <c r="Z45" s="1">
        <v>0.25</v>
      </c>
      <c r="AA45" s="1">
        <v>0</v>
      </c>
      <c r="AB45" s="1">
        <v>0.125</v>
      </c>
      <c r="AC45" s="1">
        <v>0.25</v>
      </c>
      <c r="AD45" s="1">
        <v>0</v>
      </c>
      <c r="AE45" s="1">
        <v>7</v>
      </c>
      <c r="AF45" s="1">
        <v>45</v>
      </c>
      <c r="AG45" s="1">
        <v>0</v>
      </c>
      <c r="AH45" s="1">
        <v>0</v>
      </c>
      <c r="AI45" s="1">
        <v>6</v>
      </c>
      <c r="AJ45" s="1">
        <v>48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20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60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>
        <v>46</v>
      </c>
      <c r="BM45">
        <v>45</v>
      </c>
    </row>
    <row r="46" spans="1:65">
      <c r="A46" t="s">
        <v>88</v>
      </c>
      <c r="B46" s="1">
        <v>60</v>
      </c>
      <c r="C46" s="1">
        <v>0</v>
      </c>
      <c r="D46" s="1">
        <v>0</v>
      </c>
      <c r="E46" s="1">
        <v>0</v>
      </c>
      <c r="F46" s="1">
        <v>0</v>
      </c>
      <c r="G46" s="1">
        <v>20</v>
      </c>
      <c r="H46" s="1">
        <v>0</v>
      </c>
      <c r="I46" s="1">
        <v>0</v>
      </c>
      <c r="J46" s="1">
        <v>0</v>
      </c>
      <c r="K46" s="1">
        <v>26</v>
      </c>
      <c r="L46" s="1">
        <v>0</v>
      </c>
      <c r="M46" s="1">
        <v>30</v>
      </c>
      <c r="N46" s="1">
        <v>0</v>
      </c>
      <c r="O46" s="1">
        <v>0.5</v>
      </c>
      <c r="P46" s="1">
        <v>0</v>
      </c>
      <c r="Q46" s="1">
        <v>0.25</v>
      </c>
      <c r="R46" s="1">
        <v>0.125</v>
      </c>
      <c r="S46" s="1">
        <v>0</v>
      </c>
      <c r="T46" s="1">
        <v>0</v>
      </c>
      <c r="U46" s="1">
        <v>0</v>
      </c>
      <c r="V46" s="1">
        <v>0.25</v>
      </c>
      <c r="W46" s="1">
        <v>0.375</v>
      </c>
      <c r="X46" s="1">
        <v>0</v>
      </c>
      <c r="Y46" s="1">
        <v>0.25</v>
      </c>
      <c r="Z46" s="1">
        <v>0.25</v>
      </c>
      <c r="AA46" s="1">
        <v>0</v>
      </c>
      <c r="AB46" s="1">
        <v>0.125</v>
      </c>
      <c r="AC46" s="1">
        <v>0.25</v>
      </c>
      <c r="AD46" s="1">
        <v>0</v>
      </c>
      <c r="AE46" s="1">
        <v>11</v>
      </c>
      <c r="AF46" s="1">
        <v>60</v>
      </c>
      <c r="AG46" s="1">
        <v>0</v>
      </c>
      <c r="AH46" s="1">
        <v>20</v>
      </c>
      <c r="AI46" s="1">
        <v>0</v>
      </c>
      <c r="AJ46" s="1">
        <v>19</v>
      </c>
      <c r="AK46" s="1">
        <v>0</v>
      </c>
      <c r="AL46" s="1">
        <v>0</v>
      </c>
      <c r="AM46" s="1">
        <v>0</v>
      </c>
      <c r="AN46" s="1">
        <v>50</v>
      </c>
      <c r="AO46" s="1">
        <v>0</v>
      </c>
      <c r="AP46" s="1">
        <v>0</v>
      </c>
      <c r="AQ46" s="1">
        <v>0</v>
      </c>
      <c r="AR46" s="1">
        <v>30</v>
      </c>
      <c r="AS46" s="1">
        <v>0</v>
      </c>
      <c r="AT46" s="1">
        <v>0</v>
      </c>
      <c r="AU46" s="1">
        <v>10</v>
      </c>
      <c r="AV46" s="1">
        <v>0</v>
      </c>
      <c r="AW46" s="1">
        <v>15</v>
      </c>
      <c r="AX46" s="1">
        <v>0</v>
      </c>
      <c r="AY46" s="1">
        <v>0</v>
      </c>
      <c r="AZ46" s="1">
        <v>45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>
        <v>47</v>
      </c>
      <c r="BM46">
        <v>46</v>
      </c>
    </row>
    <row r="47" spans="1:65">
      <c r="A47" t="s">
        <v>89</v>
      </c>
      <c r="B47" s="1">
        <v>45</v>
      </c>
      <c r="C47" s="1">
        <v>0</v>
      </c>
      <c r="D47" s="1">
        <v>60</v>
      </c>
      <c r="E47" s="1">
        <v>15</v>
      </c>
      <c r="F47" s="1">
        <v>0</v>
      </c>
      <c r="G47" s="1">
        <v>30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0.5</v>
      </c>
      <c r="P47" s="1">
        <v>0</v>
      </c>
      <c r="Q47" s="1">
        <v>0.25</v>
      </c>
      <c r="R47" s="1">
        <v>0.125</v>
      </c>
      <c r="S47" s="1">
        <v>0</v>
      </c>
      <c r="T47" s="1">
        <v>0</v>
      </c>
      <c r="U47" s="1">
        <v>0</v>
      </c>
      <c r="V47" s="1">
        <v>0</v>
      </c>
      <c r="W47" s="1">
        <v>0.375</v>
      </c>
      <c r="X47" s="1">
        <v>0</v>
      </c>
      <c r="Y47" s="1">
        <v>0.5</v>
      </c>
      <c r="Z47" s="1">
        <v>0.25</v>
      </c>
      <c r="AA47" s="1">
        <v>0</v>
      </c>
      <c r="AB47" s="1">
        <v>0.25</v>
      </c>
      <c r="AC47" s="1">
        <v>0.25</v>
      </c>
      <c r="AD47" s="1">
        <v>0</v>
      </c>
      <c r="AE47" s="1">
        <v>7</v>
      </c>
      <c r="AF47" s="1">
        <v>45</v>
      </c>
      <c r="AG47" s="1">
        <v>0</v>
      </c>
      <c r="AH47" s="1">
        <v>20</v>
      </c>
      <c r="AI47" s="1">
        <v>0</v>
      </c>
      <c r="AJ47" s="1">
        <v>49</v>
      </c>
      <c r="AK47" s="1">
        <v>0</v>
      </c>
      <c r="AL47" s="1">
        <v>0</v>
      </c>
      <c r="AM47" s="1">
        <v>0</v>
      </c>
      <c r="AN47" s="1">
        <v>30</v>
      </c>
      <c r="AO47" s="1">
        <v>0</v>
      </c>
      <c r="AP47" s="1">
        <v>4.5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45</v>
      </c>
      <c r="AW47" s="1">
        <v>15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>
        <v>48</v>
      </c>
      <c r="BM47">
        <v>47</v>
      </c>
    </row>
    <row r="48" spans="1:65">
      <c r="A48" t="s">
        <v>90</v>
      </c>
      <c r="B48" s="1">
        <v>30</v>
      </c>
      <c r="C48" s="1">
        <v>0</v>
      </c>
      <c r="D48" s="1">
        <v>0</v>
      </c>
      <c r="E48" s="1">
        <v>15</v>
      </c>
      <c r="F48" s="1">
        <v>0</v>
      </c>
      <c r="G48" s="1">
        <v>20</v>
      </c>
      <c r="H48" s="1">
        <v>0</v>
      </c>
      <c r="I48" s="1">
        <v>0</v>
      </c>
      <c r="J48" s="1">
        <v>0</v>
      </c>
      <c r="K48" s="1">
        <v>26</v>
      </c>
      <c r="L48" s="1">
        <v>13</v>
      </c>
      <c r="M48" s="1">
        <v>30</v>
      </c>
      <c r="N48" s="1">
        <v>0</v>
      </c>
      <c r="O48" s="1">
        <v>0.5</v>
      </c>
      <c r="P48" s="1">
        <v>0</v>
      </c>
      <c r="Q48" s="1">
        <v>0.25</v>
      </c>
      <c r="R48" s="1">
        <v>0.125</v>
      </c>
      <c r="S48" s="1">
        <v>0</v>
      </c>
      <c r="T48" s="1">
        <v>0</v>
      </c>
      <c r="U48" s="1">
        <v>0</v>
      </c>
      <c r="V48" s="1">
        <v>0.25</v>
      </c>
      <c r="W48" s="1">
        <v>0.375</v>
      </c>
      <c r="X48" s="1">
        <v>0</v>
      </c>
      <c r="Y48" s="1">
        <v>0.25</v>
      </c>
      <c r="Z48" s="1">
        <v>0.25</v>
      </c>
      <c r="AA48" s="1">
        <v>0</v>
      </c>
      <c r="AB48" s="1">
        <v>0.25</v>
      </c>
      <c r="AC48" s="1">
        <v>0.25</v>
      </c>
      <c r="AD48" s="1">
        <v>0</v>
      </c>
      <c r="AE48" s="1">
        <v>0</v>
      </c>
      <c r="AF48" s="1">
        <v>60</v>
      </c>
      <c r="AG48" s="1">
        <v>11</v>
      </c>
      <c r="AH48" s="1">
        <v>25</v>
      </c>
      <c r="AI48" s="1">
        <v>0</v>
      </c>
      <c r="AJ48" s="1">
        <v>24</v>
      </c>
      <c r="AK48" s="1">
        <v>0</v>
      </c>
      <c r="AL48" s="1">
        <v>0</v>
      </c>
      <c r="AM48" s="1">
        <v>0</v>
      </c>
      <c r="AN48" s="1">
        <v>40</v>
      </c>
      <c r="AO48" s="1">
        <v>15</v>
      </c>
      <c r="AP48" s="1">
        <v>4.5</v>
      </c>
      <c r="AQ48" s="1">
        <v>20</v>
      </c>
      <c r="AR48" s="1">
        <v>0</v>
      </c>
      <c r="AS48" s="1">
        <v>0</v>
      </c>
      <c r="AT48" s="1">
        <v>0</v>
      </c>
      <c r="AU48" s="1">
        <v>10</v>
      </c>
      <c r="AV48" s="1">
        <v>25</v>
      </c>
      <c r="AW48" s="1">
        <v>35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>
        <v>49</v>
      </c>
      <c r="BM48">
        <v>48</v>
      </c>
    </row>
    <row r="49" spans="1:65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>
        <v>50</v>
      </c>
      <c r="BM49">
        <v>49</v>
      </c>
    </row>
    <row r="50" spans="1:65">
      <c r="A50" t="s">
        <v>92</v>
      </c>
      <c r="B50" s="1">
        <v>15</v>
      </c>
      <c r="C50" s="1">
        <v>0</v>
      </c>
      <c r="D50" s="1">
        <v>0</v>
      </c>
      <c r="E50" s="1">
        <v>30</v>
      </c>
      <c r="F50" s="1">
        <v>0</v>
      </c>
      <c r="G50" s="1">
        <v>20</v>
      </c>
      <c r="H50" s="1">
        <v>0</v>
      </c>
      <c r="I50" s="1">
        <v>0</v>
      </c>
      <c r="J50" s="1">
        <v>0</v>
      </c>
      <c r="K50" s="1">
        <v>13</v>
      </c>
      <c r="L50" s="1">
        <v>15</v>
      </c>
      <c r="M50" s="1">
        <v>30</v>
      </c>
      <c r="N50" s="1">
        <v>0</v>
      </c>
      <c r="O50" s="1">
        <v>0</v>
      </c>
      <c r="P50" s="1">
        <v>0</v>
      </c>
      <c r="Q50" s="1">
        <v>0.25</v>
      </c>
      <c r="R50" s="1">
        <v>0</v>
      </c>
      <c r="S50" s="1">
        <v>0</v>
      </c>
      <c r="T50" s="1">
        <v>0</v>
      </c>
      <c r="U50" s="1">
        <v>0</v>
      </c>
      <c r="V50" s="1">
        <v>0.25</v>
      </c>
      <c r="W50" s="1">
        <v>0.375</v>
      </c>
      <c r="X50" s="1">
        <v>0</v>
      </c>
      <c r="Y50" s="1">
        <v>0.5</v>
      </c>
      <c r="Z50" s="1">
        <v>0.25</v>
      </c>
      <c r="AA50" s="1">
        <v>0</v>
      </c>
      <c r="AB50" s="1">
        <v>0.25</v>
      </c>
      <c r="AC50" s="1">
        <v>0.25</v>
      </c>
      <c r="AD50" s="1">
        <v>0</v>
      </c>
      <c r="AE50" s="1">
        <v>11</v>
      </c>
      <c r="AF50" s="1">
        <v>30</v>
      </c>
      <c r="AG50" s="1">
        <v>0</v>
      </c>
      <c r="AH50" s="1">
        <v>20</v>
      </c>
      <c r="AI50" s="1">
        <v>0</v>
      </c>
      <c r="AJ50" s="1">
        <v>12</v>
      </c>
      <c r="AK50" s="1">
        <v>0</v>
      </c>
      <c r="AL50" s="1">
        <v>0</v>
      </c>
      <c r="AM50" s="1">
        <v>0</v>
      </c>
      <c r="AN50" s="1">
        <v>50</v>
      </c>
      <c r="AO50" s="1">
        <v>0</v>
      </c>
      <c r="AP50" s="1">
        <v>4.5</v>
      </c>
      <c r="AQ50" s="1">
        <v>30</v>
      </c>
      <c r="AR50" s="1">
        <v>0</v>
      </c>
      <c r="AS50" s="1">
        <v>0</v>
      </c>
      <c r="AT50" s="1">
        <v>0</v>
      </c>
      <c r="AU50" s="1">
        <v>10</v>
      </c>
      <c r="AV50" s="1">
        <v>15</v>
      </c>
      <c r="AW50" s="1">
        <v>30</v>
      </c>
      <c r="AX50" s="1">
        <v>15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0</v>
      </c>
      <c r="BL50">
        <v>51</v>
      </c>
      <c r="BM50">
        <v>50</v>
      </c>
    </row>
    <row r="51" spans="1:65">
      <c r="A51" t="s">
        <v>93</v>
      </c>
      <c r="B51" s="1">
        <v>65</v>
      </c>
      <c r="C51" s="1">
        <v>0</v>
      </c>
      <c r="D51" s="1">
        <v>65</v>
      </c>
      <c r="E51" s="1">
        <v>0</v>
      </c>
      <c r="F51" s="1">
        <v>0</v>
      </c>
      <c r="G51" s="1">
        <v>30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0.5</v>
      </c>
      <c r="Q51" s="1">
        <v>0.5</v>
      </c>
      <c r="R51" s="1">
        <v>0.125</v>
      </c>
      <c r="S51" s="1">
        <v>0</v>
      </c>
      <c r="T51" s="1">
        <v>0</v>
      </c>
      <c r="U51" s="1">
        <v>0</v>
      </c>
      <c r="V51" s="1">
        <v>0</v>
      </c>
      <c r="W51" s="1">
        <v>0.375</v>
      </c>
      <c r="X51" s="1">
        <v>0</v>
      </c>
      <c r="Y51" s="1">
        <v>0.5</v>
      </c>
      <c r="Z51" s="1">
        <v>0.25</v>
      </c>
      <c r="AA51" s="1">
        <v>0</v>
      </c>
      <c r="AB51" s="1">
        <v>0</v>
      </c>
      <c r="AC51" s="1">
        <v>0.25</v>
      </c>
      <c r="AD51" s="1">
        <v>0</v>
      </c>
      <c r="AE51" s="1">
        <v>7</v>
      </c>
      <c r="AF51" s="1">
        <v>45</v>
      </c>
      <c r="AG51" s="1">
        <v>0</v>
      </c>
      <c r="AH51" s="1">
        <v>15</v>
      </c>
      <c r="AI51" s="1">
        <v>0</v>
      </c>
      <c r="AJ51" s="1">
        <v>60</v>
      </c>
      <c r="AK51" s="1">
        <v>0</v>
      </c>
      <c r="AL51" s="1">
        <v>0</v>
      </c>
      <c r="AM51" s="1">
        <v>0</v>
      </c>
      <c r="AN51" s="1">
        <v>30</v>
      </c>
      <c r="AO51" s="1">
        <v>0</v>
      </c>
      <c r="AP51" s="1">
        <v>3</v>
      </c>
      <c r="AQ51" s="1">
        <v>18</v>
      </c>
      <c r="AR51" s="1">
        <v>0</v>
      </c>
      <c r="AS51" s="1">
        <v>0</v>
      </c>
      <c r="AT51" s="1">
        <v>0</v>
      </c>
      <c r="AU51" s="1">
        <v>10</v>
      </c>
      <c r="AV51" s="1">
        <v>45</v>
      </c>
      <c r="AW51" s="1">
        <v>18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0</v>
      </c>
      <c r="BK51" s="1">
        <v>0</v>
      </c>
      <c r="BL51">
        <v>52</v>
      </c>
      <c r="BM51">
        <v>51</v>
      </c>
    </row>
    <row r="52" spans="1:65">
      <c r="A52" t="s">
        <v>94</v>
      </c>
      <c r="B52" s="1">
        <v>60</v>
      </c>
      <c r="C52" s="1">
        <v>0</v>
      </c>
      <c r="D52" s="1">
        <v>0</v>
      </c>
      <c r="E52" s="1">
        <v>0</v>
      </c>
      <c r="F52" s="1">
        <v>0</v>
      </c>
      <c r="G52" s="1">
        <v>30</v>
      </c>
      <c r="H52" s="1">
        <v>0</v>
      </c>
      <c r="I52" s="1">
        <v>0</v>
      </c>
      <c r="J52" s="1">
        <v>0</v>
      </c>
      <c r="K52" s="1">
        <v>26</v>
      </c>
      <c r="L52" s="1">
        <v>30</v>
      </c>
      <c r="M52" s="1">
        <v>0</v>
      </c>
      <c r="N52" s="1">
        <v>0</v>
      </c>
      <c r="O52" s="1">
        <v>0</v>
      </c>
      <c r="P52" s="1">
        <v>0.375</v>
      </c>
      <c r="Q52" s="1">
        <v>0.25</v>
      </c>
      <c r="R52" s="1">
        <v>0.125</v>
      </c>
      <c r="S52" s="1">
        <v>0</v>
      </c>
      <c r="T52" s="1">
        <v>0</v>
      </c>
      <c r="U52" s="1">
        <v>0</v>
      </c>
      <c r="V52" s="1">
        <v>0.25</v>
      </c>
      <c r="W52" s="1">
        <v>0.375</v>
      </c>
      <c r="X52" s="1">
        <v>0</v>
      </c>
      <c r="Y52" s="1">
        <v>0.5</v>
      </c>
      <c r="Z52" s="1">
        <v>0.25</v>
      </c>
      <c r="AA52" s="1">
        <v>0</v>
      </c>
      <c r="AB52" s="1">
        <v>0</v>
      </c>
      <c r="AC52" s="1">
        <v>0.25</v>
      </c>
      <c r="AD52" s="1">
        <v>0</v>
      </c>
      <c r="AE52" s="1">
        <v>11</v>
      </c>
      <c r="AF52" s="1">
        <v>60</v>
      </c>
      <c r="AG52" s="1">
        <v>0</v>
      </c>
      <c r="AH52" s="1">
        <v>30</v>
      </c>
      <c r="AI52" s="1">
        <v>0</v>
      </c>
      <c r="AJ52" s="1">
        <v>30</v>
      </c>
      <c r="AK52" s="1">
        <v>0</v>
      </c>
      <c r="AL52" s="1">
        <v>0</v>
      </c>
      <c r="AM52" s="1">
        <v>0</v>
      </c>
      <c r="AN52" s="1">
        <v>40</v>
      </c>
      <c r="AO52" s="1">
        <v>0</v>
      </c>
      <c r="AP52" s="1">
        <v>4</v>
      </c>
      <c r="AQ52" s="1">
        <v>18</v>
      </c>
      <c r="AR52" s="1">
        <v>0</v>
      </c>
      <c r="AS52" s="1">
        <v>0</v>
      </c>
      <c r="AT52" s="1">
        <v>0</v>
      </c>
      <c r="AU52" s="1">
        <v>10</v>
      </c>
      <c r="AV52" s="1">
        <v>30</v>
      </c>
      <c r="AW52" s="1">
        <v>30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0</v>
      </c>
      <c r="BK52" s="1">
        <v>0</v>
      </c>
      <c r="BL52">
        <v>53</v>
      </c>
      <c r="BM52">
        <v>52</v>
      </c>
    </row>
    <row r="53" spans="1:65">
      <c r="A53" t="s">
        <v>95</v>
      </c>
      <c r="B53" s="1">
        <v>65</v>
      </c>
      <c r="C53" s="1">
        <v>0</v>
      </c>
      <c r="D53" s="1">
        <v>0</v>
      </c>
      <c r="E53" s="1">
        <v>0</v>
      </c>
      <c r="F53" s="1">
        <v>0</v>
      </c>
      <c r="G53" s="1">
        <v>30</v>
      </c>
      <c r="H53" s="1">
        <v>0</v>
      </c>
      <c r="I53" s="1">
        <v>0</v>
      </c>
      <c r="J53" s="1">
        <v>65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0.375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0.375</v>
      </c>
      <c r="X53" s="1">
        <v>0</v>
      </c>
      <c r="Y53" s="1">
        <v>0.5</v>
      </c>
      <c r="Z53" s="1">
        <v>0.75</v>
      </c>
      <c r="AA53" s="1">
        <v>0</v>
      </c>
      <c r="AB53" s="1">
        <v>0</v>
      </c>
      <c r="AC53" s="1">
        <v>0.25</v>
      </c>
      <c r="AD53" s="1">
        <v>0</v>
      </c>
      <c r="AE53" s="1">
        <v>7</v>
      </c>
      <c r="AF53" s="1">
        <v>45</v>
      </c>
      <c r="AG53" s="1">
        <v>0</v>
      </c>
      <c r="AH53" s="1">
        <v>20</v>
      </c>
      <c r="AI53" s="1">
        <v>0</v>
      </c>
      <c r="AJ53" s="1">
        <v>60</v>
      </c>
      <c r="AK53" s="1">
        <v>0</v>
      </c>
      <c r="AL53" s="1">
        <v>0</v>
      </c>
      <c r="AM53" s="1">
        <v>0</v>
      </c>
      <c r="AN53" s="1">
        <v>30</v>
      </c>
      <c r="AO53" s="1">
        <v>0</v>
      </c>
      <c r="AP53" s="1">
        <v>3</v>
      </c>
      <c r="AQ53" s="1">
        <v>18</v>
      </c>
      <c r="AR53" s="1">
        <v>0</v>
      </c>
      <c r="AS53" s="1">
        <v>0</v>
      </c>
      <c r="AT53" s="1">
        <v>0</v>
      </c>
      <c r="AU53" s="1">
        <v>15</v>
      </c>
      <c r="AV53" s="1">
        <v>45</v>
      </c>
      <c r="AW53" s="1">
        <v>15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0</v>
      </c>
      <c r="BK53" s="1">
        <v>0</v>
      </c>
      <c r="BL53">
        <v>54</v>
      </c>
      <c r="BM53">
        <v>53</v>
      </c>
    </row>
    <row r="54" spans="1:65">
      <c r="A54" t="s">
        <v>96</v>
      </c>
      <c r="B54" s="1">
        <v>30</v>
      </c>
      <c r="C54" s="1">
        <v>0</v>
      </c>
      <c r="D54" s="1">
        <v>0</v>
      </c>
      <c r="E54" s="1">
        <v>30</v>
      </c>
      <c r="F54" s="1">
        <v>0</v>
      </c>
      <c r="G54" s="1">
        <v>30</v>
      </c>
      <c r="H54" s="1">
        <v>0</v>
      </c>
      <c r="I54" s="1">
        <v>0</v>
      </c>
      <c r="J54" s="1">
        <v>0</v>
      </c>
      <c r="K54" s="1">
        <v>26</v>
      </c>
      <c r="L54" s="1">
        <v>30</v>
      </c>
      <c r="M54" s="1">
        <v>0</v>
      </c>
      <c r="N54" s="1">
        <v>0</v>
      </c>
      <c r="O54" s="1">
        <v>0</v>
      </c>
      <c r="P54" s="1">
        <v>0.375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0.25</v>
      </c>
      <c r="W54" s="1">
        <v>0.375</v>
      </c>
      <c r="X54" s="1">
        <v>0</v>
      </c>
      <c r="Y54" s="1">
        <v>0.5</v>
      </c>
      <c r="Z54" s="1">
        <v>0.75</v>
      </c>
      <c r="AA54" s="1">
        <v>0</v>
      </c>
      <c r="AB54" s="1">
        <v>0</v>
      </c>
      <c r="AC54" s="1">
        <v>0.25</v>
      </c>
      <c r="AD54" s="1">
        <v>0</v>
      </c>
      <c r="AE54" s="1">
        <v>10</v>
      </c>
      <c r="AF54" s="1">
        <v>61</v>
      </c>
      <c r="AG54" s="1">
        <v>0</v>
      </c>
      <c r="AH54" s="1">
        <v>30</v>
      </c>
      <c r="AI54" s="1">
        <v>0</v>
      </c>
      <c r="AJ54" s="1">
        <v>12</v>
      </c>
      <c r="AK54" s="1">
        <v>0</v>
      </c>
      <c r="AL54" s="1">
        <v>0</v>
      </c>
      <c r="AM54" s="1">
        <v>0</v>
      </c>
      <c r="AN54" s="1">
        <v>40</v>
      </c>
      <c r="AO54" s="1">
        <v>0</v>
      </c>
      <c r="AP54" s="1">
        <v>4</v>
      </c>
      <c r="AQ54" s="1">
        <v>18</v>
      </c>
      <c r="AR54" s="1">
        <v>0</v>
      </c>
      <c r="AS54" s="1">
        <v>0</v>
      </c>
      <c r="AT54" s="1">
        <v>0</v>
      </c>
      <c r="AU54" s="1">
        <v>15</v>
      </c>
      <c r="AV54" s="1">
        <v>30</v>
      </c>
      <c r="AW54" s="1">
        <v>20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0</v>
      </c>
      <c r="BL54">
        <v>55</v>
      </c>
      <c r="BM54">
        <v>54</v>
      </c>
    </row>
    <row r="55" spans="1:65">
      <c r="A55" t="s">
        <v>97</v>
      </c>
      <c r="B55" s="1">
        <v>45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68</v>
      </c>
      <c r="K55" s="1">
        <v>0</v>
      </c>
      <c r="L55" s="1">
        <v>0</v>
      </c>
      <c r="M55" s="1">
        <v>0</v>
      </c>
      <c r="N55" s="1">
        <v>0</v>
      </c>
      <c r="O55" s="1">
        <v>0.5</v>
      </c>
      <c r="P55" s="1">
        <v>0</v>
      </c>
      <c r="Q55" s="1">
        <v>0.25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0.25</v>
      </c>
      <c r="X55" s="1">
        <v>0</v>
      </c>
      <c r="Y55" s="1">
        <v>0.75</v>
      </c>
      <c r="Z55" s="1">
        <v>0.25</v>
      </c>
      <c r="AA55" s="1">
        <v>0.125</v>
      </c>
      <c r="AB55" s="1">
        <v>0</v>
      </c>
      <c r="AC55" s="1">
        <v>0</v>
      </c>
      <c r="AD55" s="1">
        <v>0</v>
      </c>
      <c r="AE55" s="1">
        <v>2.5</v>
      </c>
      <c r="AF55" s="1">
        <v>16</v>
      </c>
      <c r="AG55" s="1">
        <v>0</v>
      </c>
      <c r="AH55" s="1">
        <v>8</v>
      </c>
      <c r="AI55" s="1">
        <v>0</v>
      </c>
      <c r="AJ55" s="1">
        <v>14</v>
      </c>
      <c r="AK55" s="1">
        <v>0</v>
      </c>
      <c r="AL55" s="1">
        <v>36</v>
      </c>
      <c r="AM55" s="1">
        <v>0</v>
      </c>
      <c r="AN55" s="1">
        <v>40</v>
      </c>
      <c r="AO55" s="1">
        <v>0</v>
      </c>
      <c r="AP55" s="1">
        <v>3</v>
      </c>
      <c r="AQ55" s="1">
        <v>12</v>
      </c>
      <c r="AR55" s="1">
        <v>0</v>
      </c>
      <c r="AS55" s="1">
        <v>0</v>
      </c>
      <c r="AT55" s="1">
        <v>0</v>
      </c>
      <c r="AU55" s="1">
        <v>15</v>
      </c>
      <c r="AV55" s="1">
        <v>60</v>
      </c>
      <c r="AW55" s="1">
        <v>10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0</v>
      </c>
      <c r="BL55">
        <v>56</v>
      </c>
      <c r="BM55">
        <v>55</v>
      </c>
    </row>
    <row r="56" spans="1:65">
      <c r="A56" t="s">
        <v>98</v>
      </c>
      <c r="B56" s="1">
        <v>22</v>
      </c>
      <c r="C56" s="1">
        <v>0</v>
      </c>
      <c r="D56" s="1">
        <v>0</v>
      </c>
      <c r="E56" s="1">
        <v>30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26</v>
      </c>
      <c r="L56" s="1">
        <v>30</v>
      </c>
      <c r="M56" s="1">
        <v>0</v>
      </c>
      <c r="N56" s="1">
        <v>0</v>
      </c>
      <c r="O56" s="1">
        <v>0.5</v>
      </c>
      <c r="P56" s="1">
        <v>0</v>
      </c>
      <c r="Q56" s="1">
        <v>0.25</v>
      </c>
      <c r="R56" s="1">
        <v>0</v>
      </c>
      <c r="S56" s="1">
        <v>0</v>
      </c>
      <c r="T56" s="1">
        <v>0</v>
      </c>
      <c r="U56" s="1">
        <v>0</v>
      </c>
      <c r="V56" s="1">
        <v>0.25</v>
      </c>
      <c r="W56" s="1">
        <v>0.25</v>
      </c>
      <c r="X56" s="1">
        <v>0</v>
      </c>
      <c r="Y56" s="1">
        <v>0.5</v>
      </c>
      <c r="Z56" s="1">
        <v>0.25</v>
      </c>
      <c r="AA56" s="1">
        <v>0.125</v>
      </c>
      <c r="AB56" s="1">
        <v>0</v>
      </c>
      <c r="AC56" s="1">
        <v>0</v>
      </c>
      <c r="AD56" s="1">
        <v>0</v>
      </c>
      <c r="AE56" s="1">
        <v>10</v>
      </c>
      <c r="AF56" s="1">
        <v>60</v>
      </c>
      <c r="AG56" s="1">
        <v>0</v>
      </c>
      <c r="AH56" s="1">
        <v>30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40</v>
      </c>
      <c r="AO56" s="1">
        <v>0</v>
      </c>
      <c r="AP56" s="1">
        <v>3</v>
      </c>
      <c r="AQ56" s="1">
        <v>20</v>
      </c>
      <c r="AR56" s="1">
        <v>0</v>
      </c>
      <c r="AS56" s="1">
        <v>0</v>
      </c>
      <c r="AT56" s="1">
        <v>0</v>
      </c>
      <c r="AU56" s="1">
        <v>15</v>
      </c>
      <c r="AV56" s="1">
        <v>30</v>
      </c>
      <c r="AW56" s="1">
        <v>10</v>
      </c>
      <c r="AX56" s="1">
        <v>5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15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>
        <v>57</v>
      </c>
      <c r="BM56">
        <v>56</v>
      </c>
    </row>
    <row r="57" spans="1:65">
      <c r="A57" t="s">
        <v>99</v>
      </c>
      <c r="B57" s="1">
        <v>45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68</v>
      </c>
      <c r="K57" s="1">
        <v>0</v>
      </c>
      <c r="L57" s="1">
        <v>0</v>
      </c>
      <c r="M57" s="1">
        <v>0</v>
      </c>
      <c r="N57" s="1">
        <v>0</v>
      </c>
      <c r="O57" s="1">
        <v>0.5</v>
      </c>
      <c r="P57" s="1">
        <v>0</v>
      </c>
      <c r="Q57" s="1">
        <v>0.25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0.25</v>
      </c>
      <c r="X57" s="1">
        <v>0</v>
      </c>
      <c r="Y57" s="1">
        <v>0.75</v>
      </c>
      <c r="Z57" s="1">
        <v>0.25</v>
      </c>
      <c r="AA57" s="1">
        <v>0.125</v>
      </c>
      <c r="AB57" s="1">
        <v>0</v>
      </c>
      <c r="AC57" s="1">
        <v>0</v>
      </c>
      <c r="AD57" s="1">
        <v>0</v>
      </c>
      <c r="AE57" s="1">
        <v>4</v>
      </c>
      <c r="AF57" s="1">
        <v>22</v>
      </c>
      <c r="AG57" s="1">
        <v>0</v>
      </c>
      <c r="AH57" s="1">
        <v>10</v>
      </c>
      <c r="AI57" s="1">
        <v>0</v>
      </c>
      <c r="AJ57" s="1">
        <v>14</v>
      </c>
      <c r="AK57" s="1">
        <v>0</v>
      </c>
      <c r="AL57" s="1">
        <v>36</v>
      </c>
      <c r="AM57" s="1">
        <v>0</v>
      </c>
      <c r="AN57" s="1">
        <v>40</v>
      </c>
      <c r="AO57" s="1">
        <v>0</v>
      </c>
      <c r="AP57" s="1">
        <v>2</v>
      </c>
      <c r="AQ57" s="1">
        <v>12</v>
      </c>
      <c r="AR57" s="1">
        <v>0</v>
      </c>
      <c r="AS57" s="1">
        <v>0</v>
      </c>
      <c r="AT57" s="1">
        <v>0</v>
      </c>
      <c r="AU57" s="1">
        <v>15</v>
      </c>
      <c r="AV57" s="1">
        <v>45</v>
      </c>
      <c r="AW57" s="1">
        <v>25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>
        <v>58</v>
      </c>
      <c r="BM57">
        <v>57</v>
      </c>
    </row>
    <row r="58" spans="1:65">
      <c r="A58" t="s">
        <v>100</v>
      </c>
      <c r="B58" s="1">
        <v>22</v>
      </c>
      <c r="C58" s="1">
        <v>0</v>
      </c>
      <c r="D58" s="1">
        <v>0</v>
      </c>
      <c r="E58" s="1">
        <v>30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26</v>
      </c>
      <c r="L58" s="1">
        <v>30</v>
      </c>
      <c r="M58" s="1">
        <v>0</v>
      </c>
      <c r="N58" s="1">
        <v>0</v>
      </c>
      <c r="O58" s="1">
        <v>0.5</v>
      </c>
      <c r="P58" s="1">
        <v>0</v>
      </c>
      <c r="Q58" s="1">
        <v>0.25</v>
      </c>
      <c r="R58" s="1">
        <v>0</v>
      </c>
      <c r="S58" s="1">
        <v>0</v>
      </c>
      <c r="T58" s="1">
        <v>0</v>
      </c>
      <c r="U58" s="1">
        <v>0</v>
      </c>
      <c r="V58" s="1">
        <v>0.25</v>
      </c>
      <c r="W58" s="1">
        <v>0.25</v>
      </c>
      <c r="X58" s="1">
        <v>0</v>
      </c>
      <c r="Y58" s="1">
        <v>0.5</v>
      </c>
      <c r="Z58" s="1">
        <v>0.25</v>
      </c>
      <c r="AA58" s="1">
        <v>0.125</v>
      </c>
      <c r="AB58" s="1">
        <v>0</v>
      </c>
      <c r="AC58" s="1">
        <v>0</v>
      </c>
      <c r="AD58" s="1">
        <v>0</v>
      </c>
      <c r="AE58" s="1">
        <v>10</v>
      </c>
      <c r="AF58" s="1">
        <v>60</v>
      </c>
      <c r="AG58" s="1">
        <v>0</v>
      </c>
      <c r="AH58" s="1">
        <v>30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40</v>
      </c>
      <c r="AO58" s="1">
        <v>0</v>
      </c>
      <c r="AP58" s="1">
        <v>3</v>
      </c>
      <c r="AQ58" s="1">
        <v>20</v>
      </c>
      <c r="AR58" s="1">
        <v>0</v>
      </c>
      <c r="AS58" s="1">
        <v>0</v>
      </c>
      <c r="AT58" s="1">
        <v>0</v>
      </c>
      <c r="AU58" s="1">
        <v>15</v>
      </c>
      <c r="AV58" s="1">
        <v>20</v>
      </c>
      <c r="AW58" s="1">
        <v>15</v>
      </c>
      <c r="AX58" s="1">
        <v>10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18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>
        <v>59</v>
      </c>
      <c r="BM58">
        <v>58</v>
      </c>
    </row>
    <row r="59" spans="1:65">
      <c r="A59" t="s">
        <v>101</v>
      </c>
      <c r="B59" s="1">
        <v>60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68</v>
      </c>
      <c r="K59" s="1">
        <v>0</v>
      </c>
      <c r="L59" s="1">
        <v>0</v>
      </c>
      <c r="M59" s="1">
        <v>0</v>
      </c>
      <c r="N59" s="1">
        <v>0</v>
      </c>
      <c r="O59" s="1">
        <v>0.5</v>
      </c>
      <c r="P59" s="1">
        <v>0</v>
      </c>
      <c r="Q59" s="1">
        <v>0.25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0.25</v>
      </c>
      <c r="X59" s="1">
        <v>0</v>
      </c>
      <c r="Y59" s="1">
        <v>0.75</v>
      </c>
      <c r="Z59" s="1">
        <v>0.25</v>
      </c>
      <c r="AA59" s="1">
        <v>0.125</v>
      </c>
      <c r="AB59" s="1">
        <v>0</v>
      </c>
      <c r="AC59" s="1">
        <v>0</v>
      </c>
      <c r="AD59" s="1">
        <v>0</v>
      </c>
      <c r="AE59" s="1">
        <v>4</v>
      </c>
      <c r="AF59" s="1">
        <v>22</v>
      </c>
      <c r="AG59" s="1">
        <v>0</v>
      </c>
      <c r="AH59" s="1">
        <v>10</v>
      </c>
      <c r="AI59" s="1">
        <v>0</v>
      </c>
      <c r="AJ59" s="1">
        <v>20</v>
      </c>
      <c r="AK59" s="1">
        <v>0</v>
      </c>
      <c r="AL59" s="1">
        <v>36</v>
      </c>
      <c r="AM59" s="1">
        <v>0</v>
      </c>
      <c r="AN59" s="1">
        <v>40</v>
      </c>
      <c r="AO59" s="1">
        <v>0</v>
      </c>
      <c r="AP59" s="1">
        <v>0</v>
      </c>
      <c r="AQ59" s="1">
        <v>12</v>
      </c>
      <c r="AR59" s="1">
        <v>0</v>
      </c>
      <c r="AS59" s="1">
        <v>0</v>
      </c>
      <c r="AT59" s="1">
        <v>0</v>
      </c>
      <c r="AU59" s="1">
        <v>0</v>
      </c>
      <c r="AV59" s="1">
        <v>45</v>
      </c>
      <c r="AW59" s="1">
        <v>15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>
        <v>60</v>
      </c>
      <c r="BM59">
        <v>59</v>
      </c>
    </row>
    <row r="60" spans="1:65">
      <c r="A60" t="s">
        <v>102</v>
      </c>
      <c r="B60" s="1">
        <v>30</v>
      </c>
      <c r="C60" s="1">
        <v>0</v>
      </c>
      <c r="D60" s="1">
        <v>0</v>
      </c>
      <c r="E60" s="1">
        <v>30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26</v>
      </c>
      <c r="L60" s="1">
        <v>30</v>
      </c>
      <c r="M60" s="1">
        <v>0</v>
      </c>
      <c r="N60" s="1">
        <v>0</v>
      </c>
      <c r="O60" s="1">
        <v>0.5</v>
      </c>
      <c r="P60" s="1">
        <v>0</v>
      </c>
      <c r="Q60" s="1">
        <v>0.25</v>
      </c>
      <c r="R60" s="1">
        <v>0</v>
      </c>
      <c r="S60" s="1">
        <v>0</v>
      </c>
      <c r="T60" s="1">
        <v>0</v>
      </c>
      <c r="U60" s="1">
        <v>0</v>
      </c>
      <c r="V60" s="1">
        <v>0.25</v>
      </c>
      <c r="W60" s="1">
        <v>0.25</v>
      </c>
      <c r="X60" s="1">
        <v>0</v>
      </c>
      <c r="Y60" s="1">
        <v>0.5</v>
      </c>
      <c r="Z60" s="1">
        <v>0.25</v>
      </c>
      <c r="AA60" s="1">
        <v>0.125</v>
      </c>
      <c r="AB60" s="1">
        <v>0</v>
      </c>
      <c r="AC60" s="1">
        <v>0</v>
      </c>
      <c r="AD60" s="1">
        <v>0</v>
      </c>
      <c r="AE60" s="1">
        <v>10</v>
      </c>
      <c r="AF60" s="1">
        <v>60</v>
      </c>
      <c r="AG60" s="1">
        <v>0</v>
      </c>
      <c r="AH60" s="1">
        <v>30</v>
      </c>
      <c r="AI60" s="1">
        <v>0</v>
      </c>
      <c r="AJ60" s="1">
        <v>0</v>
      </c>
      <c r="AK60" s="1">
        <v>0</v>
      </c>
      <c r="AL60" s="1">
        <v>20</v>
      </c>
      <c r="AM60" s="1">
        <v>0</v>
      </c>
      <c r="AN60" s="1">
        <v>30</v>
      </c>
      <c r="AO60" s="1">
        <v>0</v>
      </c>
      <c r="AP60" s="1">
        <v>3</v>
      </c>
      <c r="AQ60" s="1">
        <v>20</v>
      </c>
      <c r="AR60" s="1">
        <v>0</v>
      </c>
      <c r="AS60" s="1">
        <v>0</v>
      </c>
      <c r="AT60" s="1">
        <v>0</v>
      </c>
      <c r="AU60" s="1">
        <v>0</v>
      </c>
      <c r="AV60" s="1">
        <v>15</v>
      </c>
      <c r="AW60" s="1">
        <v>15</v>
      </c>
      <c r="AX60" s="1">
        <v>15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>
        <v>61</v>
      </c>
      <c r="BM60">
        <v>60</v>
      </c>
    </row>
    <row r="61" spans="1:65">
      <c r="A61" t="s">
        <v>103</v>
      </c>
      <c r="B61" s="1">
        <v>60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54</v>
      </c>
      <c r="K61" s="1">
        <v>0</v>
      </c>
      <c r="L61" s="1">
        <v>0</v>
      </c>
      <c r="M61" s="1">
        <v>0</v>
      </c>
      <c r="N61" s="1">
        <v>0</v>
      </c>
      <c r="O61" s="1">
        <v>0.5</v>
      </c>
      <c r="P61" s="1">
        <v>0</v>
      </c>
      <c r="Q61" s="1">
        <v>0.25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0.25</v>
      </c>
      <c r="X61" s="1">
        <v>0</v>
      </c>
      <c r="Y61" s="1">
        <v>0.75</v>
      </c>
      <c r="Z61" s="1">
        <v>0.25</v>
      </c>
      <c r="AA61" s="1">
        <v>0.125</v>
      </c>
      <c r="AB61" s="1">
        <v>0</v>
      </c>
      <c r="AC61" s="1">
        <v>0</v>
      </c>
      <c r="AD61" s="1">
        <v>0</v>
      </c>
      <c r="AE61" s="1">
        <v>7</v>
      </c>
      <c r="AF61" s="1">
        <v>45</v>
      </c>
      <c r="AG61" s="1">
        <v>0</v>
      </c>
      <c r="AH61" s="1">
        <v>22</v>
      </c>
      <c r="AI61" s="1">
        <v>0</v>
      </c>
      <c r="AJ61" s="1">
        <v>28</v>
      </c>
      <c r="AK61" s="1">
        <v>0</v>
      </c>
      <c r="AL61" s="1">
        <v>28</v>
      </c>
      <c r="AM61" s="1">
        <v>0</v>
      </c>
      <c r="AN61" s="1">
        <v>28</v>
      </c>
      <c r="AO61" s="1">
        <v>0</v>
      </c>
      <c r="AP61" s="1">
        <v>0</v>
      </c>
      <c r="AQ61" s="1">
        <v>14</v>
      </c>
      <c r="AR61" s="1">
        <v>0</v>
      </c>
      <c r="AS61" s="1">
        <v>0</v>
      </c>
      <c r="AT61" s="1">
        <v>0</v>
      </c>
      <c r="AU61" s="1">
        <v>0</v>
      </c>
      <c r="AV61" s="1">
        <v>20</v>
      </c>
      <c r="AW61" s="1">
        <v>15</v>
      </c>
      <c r="AX61" s="1">
        <v>20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>
        <v>62</v>
      </c>
      <c r="BM61">
        <v>61</v>
      </c>
    </row>
    <row r="62" spans="1:65">
      <c r="A62" t="s">
        <v>104</v>
      </c>
      <c r="B62" s="1">
        <v>30</v>
      </c>
      <c r="C62" s="1">
        <v>0</v>
      </c>
      <c r="D62" s="1">
        <v>0</v>
      </c>
      <c r="E62" s="1">
        <v>30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26</v>
      </c>
      <c r="L62" s="1">
        <v>30</v>
      </c>
      <c r="M62" s="1">
        <v>0</v>
      </c>
      <c r="N62" s="1">
        <v>0</v>
      </c>
      <c r="O62" s="1">
        <v>0.5</v>
      </c>
      <c r="P62" s="1">
        <v>0</v>
      </c>
      <c r="Q62" s="1">
        <v>0.25</v>
      </c>
      <c r="R62" s="1">
        <v>0.125</v>
      </c>
      <c r="S62" s="1">
        <v>0</v>
      </c>
      <c r="T62" s="1">
        <v>0</v>
      </c>
      <c r="U62" s="1">
        <v>0</v>
      </c>
      <c r="V62" s="1">
        <v>0.25</v>
      </c>
      <c r="W62" s="1">
        <v>0.25</v>
      </c>
      <c r="X62" s="1">
        <v>0</v>
      </c>
      <c r="Y62" s="1">
        <v>0.5</v>
      </c>
      <c r="Z62" s="1">
        <v>0.25</v>
      </c>
      <c r="AA62" s="1">
        <v>0.125</v>
      </c>
      <c r="AB62" s="1">
        <v>0</v>
      </c>
      <c r="AC62" s="1">
        <v>0</v>
      </c>
      <c r="AD62" s="1">
        <v>0</v>
      </c>
      <c r="AE62" s="1">
        <v>9.5</v>
      </c>
      <c r="AF62" s="1">
        <v>60</v>
      </c>
      <c r="AG62" s="1">
        <v>0</v>
      </c>
      <c r="AH62" s="1">
        <v>30</v>
      </c>
      <c r="AI62" s="1">
        <v>0</v>
      </c>
      <c r="AJ62" s="1">
        <v>0</v>
      </c>
      <c r="AK62" s="1">
        <v>0</v>
      </c>
      <c r="AL62" s="1">
        <v>28</v>
      </c>
      <c r="AM62" s="1">
        <v>0</v>
      </c>
      <c r="AN62" s="1">
        <v>50</v>
      </c>
      <c r="AO62" s="1">
        <v>0</v>
      </c>
      <c r="AP62" s="1">
        <v>0</v>
      </c>
      <c r="AQ62" s="1">
        <v>18</v>
      </c>
      <c r="AR62" s="1">
        <v>0</v>
      </c>
      <c r="AS62" s="1">
        <v>0</v>
      </c>
      <c r="AT62" s="1">
        <v>0</v>
      </c>
      <c r="AU62" s="1">
        <v>0</v>
      </c>
      <c r="AV62" s="1">
        <v>45</v>
      </c>
      <c r="AW62" s="1">
        <v>0</v>
      </c>
      <c r="AX62" s="1">
        <v>15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>
        <v>63</v>
      </c>
      <c r="BM62">
        <v>62</v>
      </c>
    </row>
    <row r="63" spans="1:65">
      <c r="A63" t="s">
        <v>105</v>
      </c>
      <c r="B63" s="1">
        <v>130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0.5</v>
      </c>
      <c r="P63" s="1">
        <v>0</v>
      </c>
      <c r="Q63" s="1">
        <v>0.25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0.375</v>
      </c>
      <c r="X63" s="1">
        <v>0</v>
      </c>
      <c r="Y63" s="1">
        <v>0.75</v>
      </c>
      <c r="Z63" s="1">
        <v>0.25</v>
      </c>
      <c r="AA63" s="1">
        <v>0.25</v>
      </c>
      <c r="AB63" s="1">
        <v>0</v>
      </c>
      <c r="AC63" s="1">
        <v>0</v>
      </c>
      <c r="AD63" s="1">
        <v>0</v>
      </c>
      <c r="AE63" s="1">
        <v>2.5</v>
      </c>
      <c r="AF63" s="1">
        <v>15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28</v>
      </c>
      <c r="AM63" s="1">
        <v>0</v>
      </c>
      <c r="AN63" s="1">
        <v>84</v>
      </c>
      <c r="AO63" s="1">
        <v>0</v>
      </c>
      <c r="AP63" s="1">
        <v>0</v>
      </c>
      <c r="AQ63" s="1">
        <v>24</v>
      </c>
      <c r="AR63" s="1">
        <v>0</v>
      </c>
      <c r="AS63" s="1">
        <v>0</v>
      </c>
      <c r="AT63" s="1">
        <v>0</v>
      </c>
      <c r="AU63" s="1">
        <v>0</v>
      </c>
      <c r="AV63" s="1">
        <v>30</v>
      </c>
      <c r="AW63" s="1">
        <v>15</v>
      </c>
      <c r="AX63" s="1">
        <v>15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>
        <v>64</v>
      </c>
      <c r="BM63">
        <v>63</v>
      </c>
    </row>
    <row r="64" spans="1:65">
      <c r="A64" t="s">
        <v>106</v>
      </c>
      <c r="B64" s="1">
        <v>30</v>
      </c>
      <c r="C64" s="1">
        <v>0</v>
      </c>
      <c r="D64" s="1">
        <v>0</v>
      </c>
      <c r="E64" s="1">
        <v>30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26</v>
      </c>
      <c r="L64" s="1">
        <v>30</v>
      </c>
      <c r="M64" s="1">
        <v>0</v>
      </c>
      <c r="N64" s="1">
        <v>0</v>
      </c>
      <c r="O64" s="1">
        <v>0.5</v>
      </c>
      <c r="P64" s="1">
        <v>0</v>
      </c>
      <c r="Q64" s="1">
        <v>0.25</v>
      </c>
      <c r="R64" s="1">
        <v>0</v>
      </c>
      <c r="S64" s="1">
        <v>0</v>
      </c>
      <c r="T64" s="1">
        <v>0</v>
      </c>
      <c r="U64" s="1">
        <v>0</v>
      </c>
      <c r="V64" s="1">
        <v>0.25</v>
      </c>
      <c r="W64" s="1">
        <v>0.375</v>
      </c>
      <c r="X64" s="1">
        <v>0</v>
      </c>
      <c r="Y64" s="1">
        <v>0.5</v>
      </c>
      <c r="Z64" s="1">
        <v>0.25</v>
      </c>
      <c r="AA64" s="1">
        <v>0.25</v>
      </c>
      <c r="AB64" s="1">
        <v>0</v>
      </c>
      <c r="AC64" s="1">
        <v>0</v>
      </c>
      <c r="AD64" s="1">
        <v>0</v>
      </c>
      <c r="AE64" s="1">
        <v>7</v>
      </c>
      <c r="AF64" s="1">
        <v>45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28</v>
      </c>
      <c r="AM64" s="1">
        <v>0</v>
      </c>
      <c r="AN64" s="1">
        <v>84</v>
      </c>
      <c r="AO64" s="1">
        <v>0</v>
      </c>
      <c r="AP64" s="1">
        <v>0</v>
      </c>
      <c r="AQ64" s="1">
        <v>24</v>
      </c>
      <c r="AR64" s="1">
        <v>0</v>
      </c>
      <c r="AS64" s="1">
        <v>0</v>
      </c>
      <c r="AT64" s="1">
        <v>0</v>
      </c>
      <c r="AU64" s="1">
        <v>0</v>
      </c>
      <c r="AV64" s="1">
        <v>30</v>
      </c>
      <c r="AW64" s="1">
        <v>15</v>
      </c>
      <c r="AX64" s="1">
        <v>15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>
        <v>65</v>
      </c>
      <c r="BM64">
        <v>64</v>
      </c>
    </row>
    <row r="65" spans="1:65">
      <c r="A65" t="s">
        <v>107</v>
      </c>
      <c r="B65" s="1">
        <v>120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0.5</v>
      </c>
      <c r="P65" s="1">
        <v>0</v>
      </c>
      <c r="Q65" s="1">
        <v>0.125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0.375</v>
      </c>
      <c r="X65" s="1">
        <v>0</v>
      </c>
      <c r="Y65" s="1">
        <v>0.75</v>
      </c>
      <c r="Z65" s="1">
        <v>0.25</v>
      </c>
      <c r="AA65" s="1">
        <v>0</v>
      </c>
      <c r="AB65" s="1">
        <v>0.5</v>
      </c>
      <c r="AC65" s="1">
        <v>0</v>
      </c>
      <c r="AD65" s="1">
        <v>0</v>
      </c>
      <c r="AE65" s="1">
        <v>7</v>
      </c>
      <c r="AF65" s="1">
        <v>45</v>
      </c>
      <c r="AG65" s="1">
        <v>0</v>
      </c>
      <c r="AH65" s="1">
        <v>0</v>
      </c>
      <c r="AI65" s="1">
        <v>0</v>
      </c>
      <c r="AJ65" s="1">
        <v>14</v>
      </c>
      <c r="AK65" s="1">
        <v>0</v>
      </c>
      <c r="AL65" s="1">
        <v>28</v>
      </c>
      <c r="AM65" s="1">
        <v>0</v>
      </c>
      <c r="AN65" s="1">
        <v>108</v>
      </c>
      <c r="AO65" s="1">
        <v>0</v>
      </c>
      <c r="AP65" s="1">
        <v>0</v>
      </c>
      <c r="AQ65" s="1">
        <v>24</v>
      </c>
      <c r="AR65" s="1">
        <v>0</v>
      </c>
      <c r="AS65" s="1">
        <v>0</v>
      </c>
      <c r="AT65" s="1">
        <v>0</v>
      </c>
      <c r="AU65" s="1">
        <v>0</v>
      </c>
      <c r="AV65" s="1">
        <v>60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>
        <v>66</v>
      </c>
      <c r="BM65">
        <v>65</v>
      </c>
    </row>
    <row r="66" spans="1:65">
      <c r="A66" t="s">
        <v>108</v>
      </c>
      <c r="B66" s="1">
        <v>30</v>
      </c>
      <c r="C66" s="1">
        <v>0</v>
      </c>
      <c r="D66" s="1">
        <v>0</v>
      </c>
      <c r="E66" s="1">
        <v>30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30</v>
      </c>
      <c r="L66" s="1">
        <v>26</v>
      </c>
      <c r="M66" s="1">
        <v>0</v>
      </c>
      <c r="N66" s="1">
        <v>0</v>
      </c>
      <c r="O66" s="1">
        <v>0.5</v>
      </c>
      <c r="P66" s="1">
        <v>0</v>
      </c>
      <c r="Q66" s="1">
        <v>0.125</v>
      </c>
      <c r="R66" s="1">
        <v>0</v>
      </c>
      <c r="S66" s="1">
        <v>0</v>
      </c>
      <c r="T66" s="1">
        <v>0</v>
      </c>
      <c r="U66" s="1">
        <v>0</v>
      </c>
      <c r="V66" s="1">
        <v>0.25</v>
      </c>
      <c r="W66" s="1">
        <v>0.375</v>
      </c>
      <c r="X66" s="1">
        <v>0</v>
      </c>
      <c r="Y66" s="1">
        <v>0.5</v>
      </c>
      <c r="Z66" s="1">
        <v>0.25</v>
      </c>
      <c r="AA66" s="1">
        <v>0</v>
      </c>
      <c r="AB66" s="1">
        <v>0.5</v>
      </c>
      <c r="AC66" s="1">
        <v>0</v>
      </c>
      <c r="AD66" s="1">
        <v>0</v>
      </c>
      <c r="AE66" s="1">
        <v>7</v>
      </c>
      <c r="AF66" s="1">
        <v>45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42</v>
      </c>
      <c r="AM66" s="1">
        <v>0</v>
      </c>
      <c r="AN66" s="1">
        <v>107</v>
      </c>
      <c r="AO66" s="1">
        <v>0</v>
      </c>
      <c r="AP66" s="1">
        <v>0</v>
      </c>
      <c r="AQ66" s="1">
        <v>14</v>
      </c>
      <c r="AR66" s="1">
        <v>0</v>
      </c>
      <c r="AS66" s="1">
        <v>0</v>
      </c>
      <c r="AT66" s="1">
        <v>0</v>
      </c>
      <c r="AU66" s="1">
        <v>0</v>
      </c>
      <c r="AV66" s="1">
        <v>45</v>
      </c>
      <c r="AW66" s="1">
        <v>15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>
        <v>67</v>
      </c>
      <c r="BM66">
        <v>66</v>
      </c>
    </row>
    <row r="67" spans="1:65">
      <c r="A67" t="s">
        <v>109</v>
      </c>
      <c r="B67" s="1">
        <v>120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0.5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0.5</v>
      </c>
      <c r="X67" s="1">
        <v>0</v>
      </c>
      <c r="Y67" s="1">
        <v>0.75</v>
      </c>
      <c r="Z67" s="1">
        <v>0.25</v>
      </c>
      <c r="AA67" s="1">
        <v>0</v>
      </c>
      <c r="AB67" s="1">
        <v>0.5</v>
      </c>
      <c r="AC67" s="1">
        <v>0</v>
      </c>
      <c r="AD67" s="1">
        <v>10</v>
      </c>
      <c r="AE67" s="1">
        <v>0</v>
      </c>
      <c r="AF67" s="1">
        <v>30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14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80</v>
      </c>
      <c r="AT67" s="1">
        <v>0</v>
      </c>
      <c r="AU67" s="1">
        <v>0</v>
      </c>
      <c r="AV67" s="1">
        <v>45</v>
      </c>
      <c r="AW67" s="1">
        <v>15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>
        <v>68</v>
      </c>
      <c r="BM67">
        <v>67</v>
      </c>
    </row>
    <row r="68" spans="1:65">
      <c r="A68" t="s">
        <v>110</v>
      </c>
      <c r="B68" s="1">
        <v>30</v>
      </c>
      <c r="C68" s="1">
        <v>0</v>
      </c>
      <c r="D68" s="1">
        <v>0</v>
      </c>
      <c r="E68" s="1">
        <v>30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30</v>
      </c>
      <c r="L68" s="1">
        <v>26</v>
      </c>
      <c r="M68" s="1">
        <v>0</v>
      </c>
      <c r="N68" s="1">
        <v>0</v>
      </c>
      <c r="O68" s="1">
        <v>0.25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0.25</v>
      </c>
      <c r="W68" s="1">
        <v>0.25</v>
      </c>
      <c r="X68" s="1">
        <v>0</v>
      </c>
      <c r="Y68" s="1">
        <v>0.5</v>
      </c>
      <c r="Z68" s="1">
        <v>0.25</v>
      </c>
      <c r="AA68" s="1">
        <v>0</v>
      </c>
      <c r="AB68" s="1">
        <v>0.5</v>
      </c>
      <c r="AC68" s="1">
        <v>0</v>
      </c>
      <c r="AD68" s="1">
        <v>20</v>
      </c>
      <c r="AE68" s="1">
        <v>0</v>
      </c>
      <c r="AF68" s="1">
        <v>60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28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80</v>
      </c>
      <c r="AT68" s="1">
        <v>0</v>
      </c>
      <c r="AU68" s="1">
        <v>0</v>
      </c>
      <c r="AV68" s="1">
        <v>45</v>
      </c>
      <c r="AW68" s="1">
        <v>20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>
        <v>69</v>
      </c>
      <c r="BM68">
        <v>68</v>
      </c>
    </row>
    <row r="69" spans="1:65">
      <c r="A69" t="s">
        <v>111</v>
      </c>
      <c r="B69" s="1">
        <v>0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130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0.5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0.25</v>
      </c>
      <c r="X69" s="1">
        <v>0</v>
      </c>
      <c r="Y69" s="1">
        <v>0.75</v>
      </c>
      <c r="Z69" s="1">
        <v>0.25</v>
      </c>
      <c r="AA69" s="1">
        <v>0</v>
      </c>
      <c r="AB69" s="1">
        <v>0</v>
      </c>
      <c r="AC69" s="1">
        <v>0</v>
      </c>
      <c r="AD69" s="1">
        <v>10</v>
      </c>
      <c r="AE69" s="1">
        <v>0</v>
      </c>
      <c r="AF69" s="1">
        <v>30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28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80</v>
      </c>
      <c r="AT69" s="1">
        <v>0</v>
      </c>
      <c r="AU69" s="1">
        <v>0</v>
      </c>
      <c r="AV69" s="1">
        <v>45</v>
      </c>
      <c r="AW69" s="1">
        <v>15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  <c r="BE69" s="1">
        <v>0</v>
      </c>
      <c r="BF69" s="1">
        <v>0</v>
      </c>
      <c r="BG69" s="1">
        <v>0</v>
      </c>
      <c r="BH69" s="1">
        <v>0</v>
      </c>
      <c r="BI69" s="1">
        <v>0</v>
      </c>
      <c r="BJ69" s="1">
        <v>0</v>
      </c>
      <c r="BK69" s="1">
        <v>0</v>
      </c>
      <c r="BL69">
        <v>70</v>
      </c>
      <c r="BM69">
        <v>69</v>
      </c>
    </row>
    <row r="70" spans="1:65">
      <c r="A70" t="s">
        <v>112</v>
      </c>
      <c r="B70" s="1">
        <v>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90</v>
      </c>
      <c r="I70" s="1">
        <v>0</v>
      </c>
      <c r="J70" s="1">
        <v>0</v>
      </c>
      <c r="K70" s="1">
        <v>30</v>
      </c>
      <c r="L70" s="1">
        <v>0</v>
      </c>
      <c r="M70" s="1">
        <v>0</v>
      </c>
      <c r="N70" s="1">
        <v>0</v>
      </c>
      <c r="O70" s="1">
        <v>0.5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0.25</v>
      </c>
      <c r="W70" s="1">
        <v>0.25</v>
      </c>
      <c r="X70" s="1">
        <v>0</v>
      </c>
      <c r="Y70" s="1">
        <v>0.5</v>
      </c>
      <c r="Z70" s="1">
        <v>0.25</v>
      </c>
      <c r="AA70" s="1">
        <v>0</v>
      </c>
      <c r="AB70" s="1">
        <v>0</v>
      </c>
      <c r="AC70" s="1">
        <v>0</v>
      </c>
      <c r="AD70" s="1">
        <v>10</v>
      </c>
      <c r="AE70" s="1">
        <v>0</v>
      </c>
      <c r="AF70" s="1">
        <v>30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28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80</v>
      </c>
      <c r="AT70" s="1">
        <v>0</v>
      </c>
      <c r="AU70" s="1">
        <v>0</v>
      </c>
      <c r="AV70" s="1">
        <v>45</v>
      </c>
      <c r="AW70" s="1">
        <v>20</v>
      </c>
      <c r="AX70" s="1">
        <v>0</v>
      </c>
      <c r="AY70" s="1">
        <v>0</v>
      </c>
      <c r="AZ70" s="1">
        <v>0</v>
      </c>
      <c r="BA70" s="1">
        <v>0</v>
      </c>
      <c r="BB70" s="1">
        <v>0</v>
      </c>
      <c r="BC70" s="1">
        <v>0</v>
      </c>
      <c r="BD70" s="1">
        <v>0</v>
      </c>
      <c r="BE70" s="1">
        <v>0</v>
      </c>
      <c r="BF70" s="1">
        <v>0</v>
      </c>
      <c r="BG70" s="1">
        <v>0</v>
      </c>
      <c r="BH70" s="1">
        <v>0</v>
      </c>
      <c r="BI70" s="1">
        <v>0</v>
      </c>
      <c r="BJ70" s="1">
        <v>0</v>
      </c>
      <c r="BK70" s="1">
        <v>0</v>
      </c>
      <c r="BL70">
        <v>71</v>
      </c>
      <c r="BM70">
        <v>70</v>
      </c>
    </row>
    <row r="71" spans="1:65">
      <c r="A71" t="s">
        <v>113</v>
      </c>
      <c r="B71" s="1">
        <v>0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90</v>
      </c>
      <c r="I71" s="1">
        <v>0</v>
      </c>
      <c r="J71" s="1">
        <v>0</v>
      </c>
      <c r="K71" s="1">
        <v>26</v>
      </c>
      <c r="L71" s="1">
        <v>0</v>
      </c>
      <c r="M71" s="1">
        <v>0</v>
      </c>
      <c r="N71" s="1">
        <v>0</v>
      </c>
      <c r="O71" s="1">
        <v>0.5</v>
      </c>
      <c r="P71" s="1">
        <v>0</v>
      </c>
      <c r="Q71" s="1">
        <v>0</v>
      </c>
      <c r="R71" s="1">
        <v>0</v>
      </c>
      <c r="S71" s="1">
        <v>0</v>
      </c>
      <c r="T71" s="1">
        <v>0</v>
      </c>
      <c r="U71" s="1">
        <v>0</v>
      </c>
      <c r="V71" s="1">
        <v>0.25</v>
      </c>
      <c r="W71" s="1">
        <v>0.125</v>
      </c>
      <c r="X71" s="1">
        <v>0</v>
      </c>
      <c r="Y71" s="1">
        <v>0</v>
      </c>
      <c r="Z71" s="1">
        <v>0.25</v>
      </c>
      <c r="AA71" s="1">
        <v>0</v>
      </c>
      <c r="AB71" s="1">
        <v>0</v>
      </c>
      <c r="AC71" s="1">
        <v>0</v>
      </c>
      <c r="AD71" s="1">
        <v>4</v>
      </c>
      <c r="AE71" s="1">
        <v>0</v>
      </c>
      <c r="AF71" s="1">
        <v>15</v>
      </c>
      <c r="AG71" s="1">
        <v>0</v>
      </c>
      <c r="AH71" s="1">
        <v>0</v>
      </c>
      <c r="AI71" s="1">
        <v>0</v>
      </c>
      <c r="AJ71" s="1">
        <v>0</v>
      </c>
      <c r="AK71" s="1">
        <v>0</v>
      </c>
      <c r="AL71" s="1">
        <v>30</v>
      </c>
      <c r="AM71" s="1">
        <v>0</v>
      </c>
      <c r="AN71" s="1">
        <v>0</v>
      </c>
      <c r="AO71" s="1">
        <v>0</v>
      </c>
      <c r="AP71" s="1">
        <v>0</v>
      </c>
      <c r="AQ71" s="1">
        <v>0</v>
      </c>
      <c r="AR71" s="1">
        <v>0</v>
      </c>
      <c r="AS71" s="1">
        <v>80</v>
      </c>
      <c r="AT71" s="1">
        <v>0</v>
      </c>
      <c r="AU71" s="1">
        <v>0</v>
      </c>
      <c r="AV71" s="1">
        <v>30</v>
      </c>
      <c r="AW71" s="1">
        <v>30</v>
      </c>
      <c r="AX71" s="1">
        <v>0</v>
      </c>
      <c r="AY71" s="1">
        <v>0</v>
      </c>
      <c r="AZ71" s="1">
        <v>0</v>
      </c>
      <c r="BA71" s="1">
        <v>0</v>
      </c>
      <c r="BB71" s="1">
        <v>0</v>
      </c>
      <c r="BC71" s="1">
        <v>0</v>
      </c>
      <c r="BD71" s="1">
        <v>0</v>
      </c>
      <c r="BE71" s="1">
        <v>0</v>
      </c>
      <c r="BF71" s="1">
        <v>0</v>
      </c>
      <c r="BG71" s="1">
        <v>0</v>
      </c>
      <c r="BH71" s="1">
        <v>0</v>
      </c>
      <c r="BI71" s="1">
        <v>0</v>
      </c>
      <c r="BJ71" s="1">
        <v>0</v>
      </c>
      <c r="BK71" s="1">
        <v>0</v>
      </c>
      <c r="BL71">
        <v>72</v>
      </c>
      <c r="BM71">
        <v>71</v>
      </c>
    </row>
    <row r="72" spans="1:65">
      <c r="A72" t="s">
        <v>114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60</v>
      </c>
      <c r="I72" s="1">
        <v>0</v>
      </c>
      <c r="J72" s="1">
        <v>0</v>
      </c>
      <c r="K72" s="1">
        <v>26</v>
      </c>
      <c r="L72" s="1">
        <v>30</v>
      </c>
      <c r="M72" s="1">
        <v>0</v>
      </c>
      <c r="N72" s="1">
        <v>0</v>
      </c>
      <c r="O72" s="1">
        <v>0.5</v>
      </c>
      <c r="P72" s="1">
        <v>0</v>
      </c>
      <c r="Q72" s="1">
        <v>0</v>
      </c>
      <c r="R72" s="1">
        <v>0</v>
      </c>
      <c r="S72" s="1">
        <v>0</v>
      </c>
      <c r="T72" s="1">
        <v>0</v>
      </c>
      <c r="U72" s="1">
        <v>0</v>
      </c>
      <c r="V72" s="1">
        <v>0.25</v>
      </c>
      <c r="W72" s="1">
        <v>0.125</v>
      </c>
      <c r="X72" s="1">
        <v>0</v>
      </c>
      <c r="Y72" s="1">
        <v>0</v>
      </c>
      <c r="Z72" s="1">
        <v>0.25</v>
      </c>
      <c r="AA72" s="1">
        <v>0</v>
      </c>
      <c r="AB72" s="1">
        <v>0</v>
      </c>
      <c r="AC72" s="1">
        <v>0</v>
      </c>
      <c r="AD72" s="1">
        <v>4</v>
      </c>
      <c r="AE72" s="1">
        <v>0</v>
      </c>
      <c r="AF72" s="1">
        <v>15</v>
      </c>
      <c r="AG72" s="1">
        <v>0</v>
      </c>
      <c r="AH72" s="1">
        <v>0</v>
      </c>
      <c r="AI72" s="1">
        <v>0</v>
      </c>
      <c r="AJ72" s="1">
        <v>0</v>
      </c>
      <c r="AK72" s="1">
        <v>0</v>
      </c>
      <c r="AL72" s="1">
        <v>30</v>
      </c>
      <c r="AM72" s="1">
        <v>0</v>
      </c>
      <c r="AN72" s="1">
        <v>0</v>
      </c>
      <c r="AO72" s="1">
        <v>0</v>
      </c>
      <c r="AP72" s="1">
        <v>0</v>
      </c>
      <c r="AQ72" s="1">
        <v>0</v>
      </c>
      <c r="AR72" s="1">
        <v>0</v>
      </c>
      <c r="AS72" s="1">
        <v>80</v>
      </c>
      <c r="AT72" s="1">
        <v>0</v>
      </c>
      <c r="AU72" s="1">
        <v>0</v>
      </c>
      <c r="AV72" s="1">
        <v>30</v>
      </c>
      <c r="AW72" s="1">
        <v>30</v>
      </c>
      <c r="AX72" s="1">
        <v>0</v>
      </c>
      <c r="AY72" s="1">
        <v>0</v>
      </c>
      <c r="AZ72" s="1">
        <v>0</v>
      </c>
      <c r="BA72" s="1">
        <v>0</v>
      </c>
      <c r="BB72" s="1">
        <v>0</v>
      </c>
      <c r="BC72" s="1">
        <v>0</v>
      </c>
      <c r="BD72" s="1">
        <v>0</v>
      </c>
      <c r="BE72" s="1">
        <v>0</v>
      </c>
      <c r="BF72" s="1">
        <v>0</v>
      </c>
      <c r="BG72" s="1">
        <v>0</v>
      </c>
      <c r="BH72" s="1">
        <v>0</v>
      </c>
      <c r="BI72" s="1">
        <v>0</v>
      </c>
      <c r="BJ72" s="1">
        <v>0</v>
      </c>
      <c r="BK72" s="1">
        <v>0</v>
      </c>
      <c r="BL72">
        <v>73</v>
      </c>
      <c r="BM72">
        <v>72</v>
      </c>
    </row>
    <row r="73" spans="1:65">
      <c r="A73" t="s">
        <v>115</v>
      </c>
      <c r="B73" s="1">
        <v>0</v>
      </c>
      <c r="C73" s="1">
        <v>0</v>
      </c>
      <c r="D73" s="1">
        <v>0</v>
      </c>
      <c r="E73" s="1">
        <v>31</v>
      </c>
      <c r="F73" s="1">
        <v>0</v>
      </c>
      <c r="G73" s="1">
        <v>0</v>
      </c>
      <c r="H73" s="1">
        <v>30</v>
      </c>
      <c r="I73" s="1">
        <v>0</v>
      </c>
      <c r="J73" s="1">
        <v>0</v>
      </c>
      <c r="K73" s="1">
        <v>26</v>
      </c>
      <c r="L73" s="1">
        <v>30</v>
      </c>
      <c r="M73" s="1">
        <v>0</v>
      </c>
      <c r="N73" s="1">
        <v>0</v>
      </c>
      <c r="O73" s="1">
        <v>0.5</v>
      </c>
      <c r="P73" s="1">
        <v>0</v>
      </c>
      <c r="Q73" s="1">
        <v>0</v>
      </c>
      <c r="R73" s="1">
        <v>0</v>
      </c>
      <c r="S73" s="1">
        <v>0</v>
      </c>
      <c r="T73" s="1">
        <v>0</v>
      </c>
      <c r="U73" s="1">
        <v>0</v>
      </c>
      <c r="V73" s="1">
        <v>0.25</v>
      </c>
      <c r="W73" s="1">
        <v>0.125</v>
      </c>
      <c r="X73" s="1">
        <v>0</v>
      </c>
      <c r="Y73" s="1">
        <v>0.5</v>
      </c>
      <c r="Z73" s="1">
        <v>0.25</v>
      </c>
      <c r="AA73" s="1">
        <v>0</v>
      </c>
      <c r="AB73" s="1">
        <v>0</v>
      </c>
      <c r="AC73" s="1">
        <v>0</v>
      </c>
      <c r="AD73" s="1">
        <v>4</v>
      </c>
      <c r="AE73" s="1">
        <v>0</v>
      </c>
      <c r="AF73" s="1">
        <v>8</v>
      </c>
      <c r="AG73" s="1">
        <v>0</v>
      </c>
      <c r="AH73" s="1">
        <v>0</v>
      </c>
      <c r="AI73" s="1">
        <v>0</v>
      </c>
      <c r="AJ73" s="1">
        <v>0</v>
      </c>
      <c r="AK73" s="1">
        <v>0</v>
      </c>
      <c r="AL73" s="1">
        <v>0</v>
      </c>
      <c r="AM73" s="1">
        <v>0</v>
      </c>
      <c r="AN73" s="1">
        <v>0</v>
      </c>
      <c r="AO73" s="1">
        <v>0</v>
      </c>
      <c r="AP73" s="1">
        <v>0</v>
      </c>
      <c r="AQ73" s="1">
        <v>0</v>
      </c>
      <c r="AR73" s="1">
        <v>0</v>
      </c>
      <c r="AS73" s="1">
        <v>70</v>
      </c>
      <c r="AT73" s="1">
        <v>0</v>
      </c>
      <c r="AU73" s="1">
        <v>0</v>
      </c>
      <c r="AV73" s="1">
        <v>16</v>
      </c>
      <c r="AW73" s="1">
        <v>28</v>
      </c>
      <c r="AX73" s="1">
        <v>0</v>
      </c>
      <c r="AY73" s="1">
        <v>0</v>
      </c>
      <c r="AZ73" s="1">
        <v>0</v>
      </c>
      <c r="BA73" s="1">
        <v>0</v>
      </c>
      <c r="BB73" s="1">
        <v>0</v>
      </c>
      <c r="BC73" s="1">
        <v>0</v>
      </c>
      <c r="BD73" s="1">
        <v>0</v>
      </c>
      <c r="BE73" s="1">
        <v>10</v>
      </c>
      <c r="BF73" s="1">
        <v>0</v>
      </c>
      <c r="BG73" s="1">
        <v>0</v>
      </c>
      <c r="BH73" s="1">
        <v>0</v>
      </c>
      <c r="BI73" s="1">
        <v>0</v>
      </c>
      <c r="BJ73" s="1">
        <v>0</v>
      </c>
      <c r="BK73" s="1">
        <v>0</v>
      </c>
      <c r="BL73">
        <v>74</v>
      </c>
      <c r="BM73">
        <v>73</v>
      </c>
    </row>
    <row r="74" spans="1:65">
      <c r="A74" t="s">
        <v>116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120</v>
      </c>
      <c r="I74" s="1">
        <v>0</v>
      </c>
      <c r="J74" s="1">
        <v>0</v>
      </c>
      <c r="K74" s="1">
        <v>0</v>
      </c>
      <c r="L74" s="1">
        <v>0</v>
      </c>
      <c r="M74" s="1">
        <v>0</v>
      </c>
      <c r="N74" s="1">
        <v>0</v>
      </c>
      <c r="O74" s="1">
        <v>0.5</v>
      </c>
      <c r="P74" s="1">
        <v>0</v>
      </c>
      <c r="Q74" s="1">
        <v>0</v>
      </c>
      <c r="R74" s="1">
        <v>0</v>
      </c>
      <c r="S74" s="1">
        <v>0</v>
      </c>
      <c r="T74" s="1">
        <v>0</v>
      </c>
      <c r="U74" s="1">
        <v>0</v>
      </c>
      <c r="V74" s="1">
        <v>0</v>
      </c>
      <c r="W74" s="1">
        <v>0.125</v>
      </c>
      <c r="X74" s="1">
        <v>0</v>
      </c>
      <c r="Y74" s="1">
        <v>0.5</v>
      </c>
      <c r="Z74" s="1">
        <v>0.25</v>
      </c>
      <c r="AA74" s="1">
        <v>0</v>
      </c>
      <c r="AB74" s="1">
        <v>0</v>
      </c>
      <c r="AC74" s="1">
        <v>0</v>
      </c>
      <c r="AD74" s="1">
        <v>4</v>
      </c>
      <c r="AE74" s="1">
        <v>0</v>
      </c>
      <c r="AF74" s="1">
        <v>14</v>
      </c>
      <c r="AG74" s="1">
        <v>0</v>
      </c>
      <c r="AH74" s="1">
        <v>0</v>
      </c>
      <c r="AI74" s="1">
        <v>0</v>
      </c>
      <c r="AJ74" s="1">
        <v>0</v>
      </c>
      <c r="AK74" s="1">
        <v>0</v>
      </c>
      <c r="AL74" s="1">
        <v>0</v>
      </c>
      <c r="AM74" s="1">
        <v>0</v>
      </c>
      <c r="AN74" s="1">
        <v>0</v>
      </c>
      <c r="AO74" s="1">
        <v>0</v>
      </c>
      <c r="AP74" s="1">
        <v>0</v>
      </c>
      <c r="AQ74" s="1">
        <v>0</v>
      </c>
      <c r="AR74" s="1">
        <v>0</v>
      </c>
      <c r="AS74" s="1">
        <v>70</v>
      </c>
      <c r="AT74" s="1">
        <v>0</v>
      </c>
      <c r="AU74" s="1">
        <v>0</v>
      </c>
      <c r="AV74" s="1">
        <v>0</v>
      </c>
      <c r="AW74" s="1">
        <v>0</v>
      </c>
      <c r="AX74" s="1">
        <v>0</v>
      </c>
      <c r="AY74" s="1">
        <v>56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  <c r="BE74" s="1">
        <v>18</v>
      </c>
      <c r="BF74" s="1">
        <v>0</v>
      </c>
      <c r="BG74" s="1">
        <v>0</v>
      </c>
      <c r="BH74" s="1">
        <v>0</v>
      </c>
      <c r="BI74" s="1">
        <v>0</v>
      </c>
      <c r="BJ74" s="1">
        <v>0</v>
      </c>
      <c r="BK74" s="1">
        <v>0</v>
      </c>
      <c r="BL74">
        <v>75</v>
      </c>
      <c r="BM74">
        <v>74</v>
      </c>
    </row>
    <row r="75" spans="1:65">
      <c r="A75" t="s">
        <v>117</v>
      </c>
      <c r="B75" s="1">
        <v>0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60</v>
      </c>
      <c r="I75" s="1">
        <v>0</v>
      </c>
      <c r="J75" s="1">
        <v>0</v>
      </c>
      <c r="K75" s="1">
        <v>26</v>
      </c>
      <c r="L75" s="1">
        <v>30</v>
      </c>
      <c r="M75" s="1">
        <v>0</v>
      </c>
      <c r="N75" s="1">
        <v>0</v>
      </c>
      <c r="O75" s="1">
        <v>0.5</v>
      </c>
      <c r="P75" s="1">
        <v>0</v>
      </c>
      <c r="Q75" s="1">
        <v>0</v>
      </c>
      <c r="R75" s="1">
        <v>0</v>
      </c>
      <c r="S75" s="1">
        <v>0</v>
      </c>
      <c r="T75" s="1">
        <v>0</v>
      </c>
      <c r="U75" s="1">
        <v>0</v>
      </c>
      <c r="V75" s="1">
        <v>0</v>
      </c>
      <c r="W75" s="1">
        <v>0.125</v>
      </c>
      <c r="X75" s="1">
        <v>0</v>
      </c>
      <c r="Y75" s="1">
        <v>0.5</v>
      </c>
      <c r="Z75" s="1">
        <v>0.25</v>
      </c>
      <c r="AA75" s="1">
        <v>0</v>
      </c>
      <c r="AB75" s="1">
        <v>0</v>
      </c>
      <c r="AC75" s="1">
        <v>0</v>
      </c>
      <c r="AD75" s="1">
        <v>4</v>
      </c>
      <c r="AE75" s="1">
        <v>0</v>
      </c>
      <c r="AF75" s="1">
        <v>14</v>
      </c>
      <c r="AG75" s="1">
        <v>0</v>
      </c>
      <c r="AH75" s="1">
        <v>0</v>
      </c>
      <c r="AI75" s="1">
        <v>0</v>
      </c>
      <c r="AJ75" s="1">
        <v>0</v>
      </c>
      <c r="AK75" s="1">
        <v>0</v>
      </c>
      <c r="AL75" s="1">
        <v>0</v>
      </c>
      <c r="AM75" s="1">
        <v>0</v>
      </c>
      <c r="AN75" s="1">
        <v>0</v>
      </c>
      <c r="AO75" s="1">
        <v>0</v>
      </c>
      <c r="AP75" s="1">
        <v>0</v>
      </c>
      <c r="AQ75" s="1">
        <v>0</v>
      </c>
      <c r="AR75" s="1">
        <v>0</v>
      </c>
      <c r="AS75" s="1">
        <v>70</v>
      </c>
      <c r="AT75" s="1">
        <v>0</v>
      </c>
      <c r="AU75" s="1">
        <v>0</v>
      </c>
      <c r="AV75" s="1">
        <v>0</v>
      </c>
      <c r="AW75" s="1">
        <v>0</v>
      </c>
      <c r="AX75" s="1">
        <v>0</v>
      </c>
      <c r="AY75" s="1">
        <v>56</v>
      </c>
      <c r="AZ75" s="1">
        <v>0</v>
      </c>
      <c r="BA75" s="1">
        <v>0</v>
      </c>
      <c r="BB75" s="1">
        <v>0</v>
      </c>
      <c r="BC75" s="1">
        <v>0</v>
      </c>
      <c r="BD75" s="1">
        <v>0</v>
      </c>
      <c r="BE75" s="1">
        <v>18</v>
      </c>
      <c r="BF75" s="1">
        <v>0</v>
      </c>
      <c r="BG75" s="1">
        <v>0</v>
      </c>
      <c r="BH75" s="1">
        <v>0</v>
      </c>
      <c r="BI75" s="1">
        <v>0</v>
      </c>
      <c r="BJ75" s="1">
        <v>0</v>
      </c>
      <c r="BK75" s="1">
        <v>0</v>
      </c>
      <c r="BL75" s="8">
        <v>76</v>
      </c>
      <c r="BM75">
        <v>75</v>
      </c>
    </row>
    <row r="76" spans="1:65">
      <c r="A76" t="s">
        <v>118</v>
      </c>
      <c r="B76" s="1">
        <v>45</v>
      </c>
      <c r="C76" s="1">
        <v>0</v>
      </c>
      <c r="D76" s="1">
        <v>0</v>
      </c>
      <c r="E76" s="1">
        <v>30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30</v>
      </c>
      <c r="M76" s="1">
        <v>0</v>
      </c>
      <c r="N76" s="1">
        <v>0</v>
      </c>
      <c r="O76" s="1">
        <v>0.5</v>
      </c>
      <c r="P76" s="1">
        <v>0</v>
      </c>
      <c r="Q76" s="1">
        <v>0</v>
      </c>
      <c r="R76" s="1">
        <v>0</v>
      </c>
      <c r="S76" s="1">
        <v>0</v>
      </c>
      <c r="T76" s="1">
        <v>0</v>
      </c>
      <c r="U76" s="1">
        <v>0</v>
      </c>
      <c r="V76" s="1">
        <v>0.125</v>
      </c>
      <c r="W76" s="1">
        <v>0.125</v>
      </c>
      <c r="X76" s="1">
        <v>0</v>
      </c>
      <c r="Y76" s="1">
        <v>0.5</v>
      </c>
      <c r="Z76" s="1">
        <v>0.25</v>
      </c>
      <c r="AA76" s="1">
        <v>0</v>
      </c>
      <c r="AB76" s="1">
        <v>0</v>
      </c>
      <c r="AC76" s="1">
        <v>0</v>
      </c>
      <c r="AD76" s="1">
        <v>44</v>
      </c>
      <c r="AE76" s="1">
        <v>13</v>
      </c>
      <c r="AF76" s="1">
        <v>14</v>
      </c>
      <c r="AG76" s="1">
        <v>0</v>
      </c>
      <c r="AH76" s="1">
        <v>0</v>
      </c>
      <c r="AI76" s="1">
        <v>0</v>
      </c>
      <c r="AJ76" s="1">
        <v>0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0</v>
      </c>
      <c r="AQ76" s="1">
        <v>0</v>
      </c>
      <c r="AR76" s="1">
        <v>0</v>
      </c>
      <c r="AS76" s="1">
        <v>70</v>
      </c>
      <c r="AT76" s="1">
        <v>0</v>
      </c>
      <c r="AU76" s="1">
        <v>0</v>
      </c>
      <c r="AV76" s="1">
        <v>28</v>
      </c>
      <c r="AW76" s="1">
        <v>15</v>
      </c>
      <c r="AX76" s="1">
        <v>0</v>
      </c>
      <c r="AY76" s="1">
        <v>0</v>
      </c>
      <c r="AZ76" s="1">
        <v>0</v>
      </c>
      <c r="BA76" s="1">
        <v>0</v>
      </c>
      <c r="BB76" s="1">
        <v>0</v>
      </c>
      <c r="BC76" s="1">
        <v>0</v>
      </c>
      <c r="BD76" s="1">
        <v>0</v>
      </c>
      <c r="BE76" s="1">
        <v>18</v>
      </c>
      <c r="BF76" s="1">
        <v>0</v>
      </c>
      <c r="BG76" s="1">
        <v>0</v>
      </c>
      <c r="BH76" s="1">
        <v>0</v>
      </c>
      <c r="BI76" s="1">
        <v>0</v>
      </c>
      <c r="BJ76" s="1">
        <v>0</v>
      </c>
      <c r="BK76" s="1">
        <v>0</v>
      </c>
      <c r="BL76" s="8">
        <v>77</v>
      </c>
      <c r="BM76">
        <v>76</v>
      </c>
    </row>
    <row r="77" spans="1:65">
      <c r="A77" t="s">
        <v>119</v>
      </c>
      <c r="B77" s="1">
        <v>0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114</v>
      </c>
      <c r="J77" s="1">
        <v>0</v>
      </c>
      <c r="K77" s="1">
        <v>0</v>
      </c>
      <c r="L77" s="1">
        <v>0</v>
      </c>
      <c r="M77" s="1">
        <v>0</v>
      </c>
      <c r="N77" s="1">
        <v>0</v>
      </c>
      <c r="O77" s="1">
        <v>0.5</v>
      </c>
      <c r="P77" s="1">
        <v>0</v>
      </c>
      <c r="Q77" s="1">
        <v>0</v>
      </c>
      <c r="R77" s="1">
        <v>0</v>
      </c>
      <c r="S77" s="1">
        <v>0</v>
      </c>
      <c r="T77" s="1">
        <v>0</v>
      </c>
      <c r="U77" s="1">
        <v>0</v>
      </c>
      <c r="V77" s="1">
        <v>0.125</v>
      </c>
      <c r="W77" s="1">
        <v>0.25</v>
      </c>
      <c r="X77" s="1">
        <v>0</v>
      </c>
      <c r="Y77" s="1">
        <v>0.5</v>
      </c>
      <c r="Z77" s="1">
        <v>0.25</v>
      </c>
      <c r="AA77" s="1">
        <v>0</v>
      </c>
      <c r="AB77" s="1">
        <v>0</v>
      </c>
      <c r="AC77" s="1">
        <v>0</v>
      </c>
      <c r="AD77" s="1">
        <v>4</v>
      </c>
      <c r="AE77" s="1">
        <v>0</v>
      </c>
      <c r="AF77" s="1">
        <v>14</v>
      </c>
      <c r="AG77" s="1">
        <v>0</v>
      </c>
      <c r="AH77" s="1">
        <v>0</v>
      </c>
      <c r="AI77" s="1">
        <v>0</v>
      </c>
      <c r="AJ77" s="1">
        <v>30</v>
      </c>
      <c r="AK77" s="1">
        <v>0</v>
      </c>
      <c r="AL77" s="1">
        <v>50</v>
      </c>
      <c r="AM77" s="1">
        <v>0</v>
      </c>
      <c r="AN77" s="1">
        <v>0</v>
      </c>
      <c r="AO77" s="1">
        <v>0</v>
      </c>
      <c r="AP77" s="1">
        <v>0</v>
      </c>
      <c r="AQ77" s="1">
        <v>0</v>
      </c>
      <c r="AR77" s="1">
        <v>0</v>
      </c>
      <c r="AS77" s="1">
        <v>0</v>
      </c>
      <c r="AT77" s="1">
        <v>0</v>
      </c>
      <c r="AU77" s="1">
        <v>0</v>
      </c>
      <c r="AV77" s="1">
        <v>28</v>
      </c>
      <c r="AW77" s="1">
        <v>25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  <c r="BE77" s="1">
        <v>0</v>
      </c>
      <c r="BF77" s="1">
        <v>0</v>
      </c>
      <c r="BG77" s="1">
        <v>0</v>
      </c>
      <c r="BH77" s="1">
        <v>0</v>
      </c>
      <c r="BI77" s="1">
        <v>0</v>
      </c>
      <c r="BJ77" s="1">
        <v>0</v>
      </c>
      <c r="BK77" s="1">
        <v>0</v>
      </c>
      <c r="BL77" s="8">
        <v>78</v>
      </c>
      <c r="BM77">
        <v>77</v>
      </c>
    </row>
    <row r="78" spans="1:65">
      <c r="A78" t="s">
        <v>120</v>
      </c>
      <c r="B78" s="1">
        <v>0</v>
      </c>
      <c r="C78" s="1">
        <v>0</v>
      </c>
      <c r="D78" s="1">
        <v>0</v>
      </c>
      <c r="E78" s="1">
        <v>38</v>
      </c>
      <c r="F78" s="1">
        <v>0</v>
      </c>
      <c r="G78" s="1">
        <v>0</v>
      </c>
      <c r="H78" s="1">
        <v>38</v>
      </c>
      <c r="I78" s="1">
        <v>0</v>
      </c>
      <c r="J78" s="1">
        <v>0</v>
      </c>
      <c r="K78" s="1">
        <v>0</v>
      </c>
      <c r="L78" s="1">
        <v>30</v>
      </c>
      <c r="M78" s="1">
        <v>0</v>
      </c>
      <c r="N78" s="1">
        <v>0</v>
      </c>
      <c r="O78" s="1">
        <v>0.5</v>
      </c>
      <c r="P78" s="1">
        <v>0</v>
      </c>
      <c r="Q78" s="1">
        <v>0.25</v>
      </c>
      <c r="R78" s="1">
        <v>0</v>
      </c>
      <c r="S78" s="1">
        <v>0</v>
      </c>
      <c r="T78" s="1">
        <v>0</v>
      </c>
      <c r="U78" s="1">
        <v>0</v>
      </c>
      <c r="V78" s="1">
        <v>0</v>
      </c>
      <c r="W78" s="1">
        <v>0.25</v>
      </c>
      <c r="X78" s="1">
        <v>0</v>
      </c>
      <c r="Y78" s="1">
        <v>2</v>
      </c>
      <c r="Z78" s="1">
        <v>0.25</v>
      </c>
      <c r="AA78" s="1">
        <v>0</v>
      </c>
      <c r="AB78" s="1">
        <v>0</v>
      </c>
      <c r="AC78" s="1">
        <v>0</v>
      </c>
      <c r="AD78" s="1">
        <v>7</v>
      </c>
      <c r="AE78" s="1">
        <v>13</v>
      </c>
      <c r="AF78" s="1">
        <v>29</v>
      </c>
      <c r="AG78" s="1">
        <v>0</v>
      </c>
      <c r="AH78" s="1">
        <v>0</v>
      </c>
      <c r="AI78" s="1">
        <v>0</v>
      </c>
      <c r="AJ78" s="1">
        <v>0</v>
      </c>
      <c r="AK78" s="1">
        <v>0</v>
      </c>
      <c r="AL78" s="1">
        <v>0</v>
      </c>
      <c r="AM78" s="1">
        <v>0</v>
      </c>
      <c r="AN78" s="1">
        <v>0</v>
      </c>
      <c r="AO78" s="1">
        <v>0</v>
      </c>
      <c r="AP78" s="1">
        <v>0</v>
      </c>
      <c r="AQ78" s="1">
        <v>0</v>
      </c>
      <c r="AR78" s="1">
        <v>0</v>
      </c>
      <c r="AS78" s="1">
        <v>96</v>
      </c>
      <c r="AT78" s="1">
        <v>0</v>
      </c>
      <c r="AU78" s="1">
        <v>0</v>
      </c>
      <c r="AV78" s="1">
        <v>28</v>
      </c>
      <c r="AW78" s="1">
        <v>0</v>
      </c>
      <c r="AX78" s="1">
        <v>0</v>
      </c>
      <c r="AY78" s="1">
        <v>22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  <c r="BE78" s="1">
        <v>0</v>
      </c>
      <c r="BF78" s="1">
        <v>0</v>
      </c>
      <c r="BG78" s="1">
        <v>0</v>
      </c>
      <c r="BH78" s="1">
        <v>0</v>
      </c>
      <c r="BI78" s="1">
        <v>0</v>
      </c>
      <c r="BJ78" s="1">
        <v>0</v>
      </c>
      <c r="BK78" s="1">
        <v>0</v>
      </c>
      <c r="BL78" s="8">
        <v>79</v>
      </c>
      <c r="BM78">
        <v>78</v>
      </c>
    </row>
    <row r="79" spans="1:65">
      <c r="A79" t="s">
        <v>213</v>
      </c>
      <c r="B79" s="1">
        <v>0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1">
        <v>0</v>
      </c>
      <c r="AI79" s="1">
        <v>0</v>
      </c>
      <c r="AJ79" s="1">
        <v>0</v>
      </c>
      <c r="AK79" s="1">
        <v>0</v>
      </c>
      <c r="AL79" s="1">
        <v>0</v>
      </c>
      <c r="AM79" s="1">
        <v>0</v>
      </c>
      <c r="AN79" s="1">
        <v>0</v>
      </c>
      <c r="AO79" s="1">
        <v>0</v>
      </c>
      <c r="AP79" s="1">
        <v>0</v>
      </c>
      <c r="AQ79" s="1">
        <v>0</v>
      </c>
      <c r="AR79" s="1">
        <v>0</v>
      </c>
      <c r="AS79" s="1">
        <v>0</v>
      </c>
      <c r="AT79" s="1">
        <v>0</v>
      </c>
      <c r="AU79" s="1">
        <v>0</v>
      </c>
      <c r="AV79" s="1">
        <v>0</v>
      </c>
      <c r="AW79" s="1">
        <v>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  <c r="BE79" s="1">
        <v>0</v>
      </c>
      <c r="BF79" s="1">
        <v>0</v>
      </c>
      <c r="BG79" s="1">
        <v>0</v>
      </c>
      <c r="BH79" s="1">
        <v>0</v>
      </c>
      <c r="BI79" s="1">
        <v>0</v>
      </c>
      <c r="BJ79" s="1">
        <v>0</v>
      </c>
      <c r="BK79" s="1">
        <v>0</v>
      </c>
      <c r="BM79">
        <v>79</v>
      </c>
    </row>
    <row r="80" spans="1:65">
      <c r="A80" t="s">
        <v>213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1">
        <v>0</v>
      </c>
      <c r="AI80" s="1">
        <v>0</v>
      </c>
      <c r="AJ80" s="1">
        <v>0</v>
      </c>
      <c r="AK80" s="1">
        <v>0</v>
      </c>
      <c r="AL80" s="1">
        <v>0</v>
      </c>
      <c r="AM80" s="1">
        <v>0</v>
      </c>
      <c r="AN80" s="1">
        <v>0</v>
      </c>
      <c r="AO80" s="1">
        <v>0</v>
      </c>
      <c r="AP80" s="1">
        <v>0</v>
      </c>
      <c r="AQ80" s="1">
        <v>0</v>
      </c>
      <c r="AR80" s="1">
        <v>0</v>
      </c>
      <c r="AS80" s="1">
        <v>0</v>
      </c>
      <c r="AT80" s="1">
        <v>0</v>
      </c>
      <c r="AU80" s="1">
        <v>0</v>
      </c>
      <c r="AV80" s="1">
        <v>0</v>
      </c>
      <c r="AW80" s="1">
        <v>0</v>
      </c>
      <c r="AX80" s="1">
        <v>0</v>
      </c>
      <c r="AY80" s="1">
        <v>0</v>
      </c>
      <c r="AZ80" s="1">
        <v>0</v>
      </c>
      <c r="BA80" s="1">
        <v>0</v>
      </c>
      <c r="BB80" s="1">
        <v>0</v>
      </c>
      <c r="BC80" s="1">
        <v>0</v>
      </c>
      <c r="BD80" s="1">
        <v>0</v>
      </c>
      <c r="BE80" s="1">
        <v>0</v>
      </c>
      <c r="BF80" s="1">
        <v>0</v>
      </c>
      <c r="BG80" s="1">
        <v>0</v>
      </c>
      <c r="BH80" s="1">
        <v>0</v>
      </c>
      <c r="BI80" s="1">
        <v>0</v>
      </c>
      <c r="BJ80" s="1">
        <v>0</v>
      </c>
      <c r="BK80" s="1">
        <v>0</v>
      </c>
    </row>
    <row r="81" spans="1:63">
      <c r="A81" t="s">
        <v>213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1">
        <v>0</v>
      </c>
      <c r="AI81" s="1">
        <v>0</v>
      </c>
      <c r="AJ81" s="1">
        <v>0</v>
      </c>
      <c r="AK81" s="1">
        <v>0</v>
      </c>
      <c r="AL81" s="1">
        <v>0</v>
      </c>
      <c r="AM81" s="1">
        <v>0</v>
      </c>
      <c r="AN81" s="1">
        <v>0</v>
      </c>
      <c r="AO81" s="1">
        <v>0</v>
      </c>
      <c r="AP81" s="1">
        <v>0</v>
      </c>
      <c r="AQ81" s="1">
        <v>0</v>
      </c>
      <c r="AR81" s="1">
        <v>0</v>
      </c>
      <c r="AS81" s="1">
        <v>0</v>
      </c>
      <c r="AT81" s="1">
        <v>0</v>
      </c>
      <c r="AU81" s="1">
        <v>0</v>
      </c>
      <c r="AV81" s="1">
        <v>0</v>
      </c>
      <c r="AW81" s="1">
        <v>0</v>
      </c>
      <c r="AX81" s="1">
        <v>0</v>
      </c>
      <c r="AY81" s="1">
        <v>0</v>
      </c>
      <c r="AZ81" s="1">
        <v>0</v>
      </c>
      <c r="BA81" s="1">
        <v>0</v>
      </c>
      <c r="BB81" s="1">
        <v>0</v>
      </c>
      <c r="BC81" s="1">
        <v>0</v>
      </c>
      <c r="BD81" s="1">
        <v>0</v>
      </c>
      <c r="BE81" s="1">
        <v>0</v>
      </c>
      <c r="BF81" s="1">
        <v>0</v>
      </c>
      <c r="BG81" s="1">
        <v>0</v>
      </c>
      <c r="BH81" s="1">
        <v>0</v>
      </c>
      <c r="BI81" s="1">
        <v>0</v>
      </c>
      <c r="BJ81" s="1">
        <v>0</v>
      </c>
      <c r="BK81" s="1">
        <v>0</v>
      </c>
    </row>
    <row r="82" spans="1:63">
      <c r="A82" t="s">
        <v>213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1">
        <v>0</v>
      </c>
      <c r="AI82" s="1">
        <v>0</v>
      </c>
      <c r="AJ82" s="1">
        <v>0</v>
      </c>
      <c r="AK82" s="1">
        <v>0</v>
      </c>
      <c r="AL82" s="1">
        <v>0</v>
      </c>
      <c r="AM82" s="1">
        <v>0</v>
      </c>
      <c r="AN82" s="1">
        <v>0</v>
      </c>
      <c r="AO82" s="1">
        <v>0</v>
      </c>
      <c r="AP82" s="1">
        <v>0</v>
      </c>
      <c r="AQ82" s="1">
        <v>0</v>
      </c>
      <c r="AR82" s="1">
        <v>0</v>
      </c>
      <c r="AS82" s="1">
        <v>0</v>
      </c>
      <c r="AT82" s="1">
        <v>0</v>
      </c>
      <c r="AU82" s="1">
        <v>0</v>
      </c>
      <c r="AV82" s="1">
        <v>0</v>
      </c>
      <c r="AW82" s="1">
        <v>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  <c r="BE82" s="1">
        <v>0</v>
      </c>
      <c r="BF82" s="1">
        <v>0</v>
      </c>
      <c r="BG82" s="1">
        <v>0</v>
      </c>
      <c r="BH82" s="1">
        <v>0</v>
      </c>
      <c r="BI82" s="1">
        <v>0</v>
      </c>
      <c r="BJ82" s="1">
        <v>0</v>
      </c>
      <c r="BK82" s="1">
        <v>0</v>
      </c>
    </row>
    <row r="83" spans="1:63">
      <c r="A83" t="s">
        <v>213</v>
      </c>
      <c r="B83" s="1">
        <v>0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0</v>
      </c>
      <c r="AD83" s="1">
        <v>0</v>
      </c>
      <c r="AE83" s="1">
        <v>0</v>
      </c>
      <c r="AF83" s="1">
        <v>0</v>
      </c>
      <c r="AG83" s="1">
        <v>0</v>
      </c>
      <c r="AH83" s="1">
        <v>0</v>
      </c>
      <c r="AI83" s="1">
        <v>0</v>
      </c>
      <c r="AJ83" s="1">
        <v>0</v>
      </c>
      <c r="AK83" s="1">
        <v>0</v>
      </c>
      <c r="AL83" s="1">
        <v>0</v>
      </c>
      <c r="AM83" s="1">
        <v>0</v>
      </c>
      <c r="AN83" s="1">
        <v>0</v>
      </c>
      <c r="AO83" s="1">
        <v>0</v>
      </c>
      <c r="AP83" s="1">
        <v>0</v>
      </c>
      <c r="AQ83" s="1">
        <v>0</v>
      </c>
      <c r="AR83" s="1">
        <v>0</v>
      </c>
      <c r="AS83" s="1">
        <v>0</v>
      </c>
      <c r="AT83" s="1">
        <v>0</v>
      </c>
      <c r="AU83" s="1">
        <v>0</v>
      </c>
      <c r="AV83" s="1">
        <v>0</v>
      </c>
      <c r="AW83" s="1">
        <v>0</v>
      </c>
      <c r="AX83" s="1">
        <v>0</v>
      </c>
      <c r="AY83" s="1">
        <v>0</v>
      </c>
      <c r="AZ83" s="1">
        <v>0</v>
      </c>
      <c r="BA83" s="1">
        <v>0</v>
      </c>
      <c r="BB83" s="1">
        <v>0</v>
      </c>
      <c r="BC83" s="1">
        <v>0</v>
      </c>
      <c r="BD83" s="1">
        <v>0</v>
      </c>
      <c r="BE83" s="1">
        <v>0</v>
      </c>
      <c r="BF83" s="1">
        <v>0</v>
      </c>
      <c r="BG83" s="1">
        <v>0</v>
      </c>
      <c r="BH83" s="1">
        <v>0</v>
      </c>
      <c r="BI83" s="1">
        <v>0</v>
      </c>
      <c r="BJ83" s="1">
        <v>0</v>
      </c>
      <c r="BK83" s="1">
        <v>0</v>
      </c>
    </row>
    <row r="84" spans="1:63">
      <c r="A84" t="s">
        <v>213</v>
      </c>
      <c r="B84" s="1">
        <v>0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0</v>
      </c>
      <c r="AJ84" s="1">
        <v>0</v>
      </c>
      <c r="AK84" s="1">
        <v>0</v>
      </c>
      <c r="AL84" s="1">
        <v>0</v>
      </c>
      <c r="AM84" s="1">
        <v>0</v>
      </c>
      <c r="AN84" s="1">
        <v>0</v>
      </c>
      <c r="AO84" s="1">
        <v>0</v>
      </c>
      <c r="AP84" s="1">
        <v>0</v>
      </c>
      <c r="AQ84" s="1">
        <v>0</v>
      </c>
      <c r="AR84" s="1">
        <v>0</v>
      </c>
      <c r="AS84" s="1">
        <v>0</v>
      </c>
      <c r="AT84" s="1">
        <v>0</v>
      </c>
      <c r="AU84" s="1">
        <v>0</v>
      </c>
      <c r="AV84" s="1">
        <v>0</v>
      </c>
      <c r="AW84" s="1">
        <v>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  <c r="BE84" s="1">
        <v>0</v>
      </c>
      <c r="BF84" s="1">
        <v>0</v>
      </c>
      <c r="BG84" s="1">
        <v>0</v>
      </c>
      <c r="BH84" s="1">
        <v>0</v>
      </c>
      <c r="BI84" s="1">
        <v>0</v>
      </c>
      <c r="BJ84" s="1">
        <v>0</v>
      </c>
      <c r="BK84" s="1">
        <v>0</v>
      </c>
    </row>
    <row r="85" spans="1:63">
      <c r="A85" t="s">
        <v>213</v>
      </c>
      <c r="B85" s="1">
        <v>0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1">
        <v>0</v>
      </c>
      <c r="AI85" s="1">
        <v>0</v>
      </c>
      <c r="AJ85" s="1">
        <v>0</v>
      </c>
      <c r="AK85" s="1">
        <v>0</v>
      </c>
      <c r="AL85" s="1">
        <v>0</v>
      </c>
      <c r="AM85" s="1">
        <v>0</v>
      </c>
      <c r="AN85" s="1">
        <v>0</v>
      </c>
      <c r="AO85" s="1">
        <v>0</v>
      </c>
      <c r="AP85" s="1">
        <v>0</v>
      </c>
      <c r="AQ85" s="1">
        <v>0</v>
      </c>
      <c r="AR85" s="1">
        <v>0</v>
      </c>
      <c r="AS85" s="1">
        <v>0</v>
      </c>
      <c r="AT85" s="1">
        <v>0</v>
      </c>
      <c r="AU85" s="1">
        <v>0</v>
      </c>
      <c r="AV85" s="1">
        <v>0</v>
      </c>
      <c r="AW85" s="1">
        <v>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  <c r="BE85" s="1">
        <v>0</v>
      </c>
      <c r="BF85" s="1">
        <v>0</v>
      </c>
      <c r="BG85" s="1">
        <v>0</v>
      </c>
      <c r="BH85" s="1">
        <v>0</v>
      </c>
      <c r="BI85" s="1">
        <v>0</v>
      </c>
      <c r="BJ85" s="1">
        <v>0</v>
      </c>
      <c r="BK85" s="1">
        <v>0</v>
      </c>
    </row>
    <row r="86" spans="1:63">
      <c r="A86" t="s">
        <v>213</v>
      </c>
      <c r="B86" s="1">
        <v>0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1">
        <v>0</v>
      </c>
      <c r="AI86" s="1">
        <v>0</v>
      </c>
      <c r="AJ86" s="1">
        <v>0</v>
      </c>
      <c r="AK86" s="1">
        <v>0</v>
      </c>
      <c r="AL86" s="1">
        <v>0</v>
      </c>
      <c r="AM86" s="1">
        <v>0</v>
      </c>
      <c r="AN86" s="1">
        <v>0</v>
      </c>
      <c r="AO86" s="1">
        <v>0</v>
      </c>
      <c r="AP86" s="1">
        <v>0</v>
      </c>
      <c r="AQ86" s="1">
        <v>0</v>
      </c>
      <c r="AR86" s="1">
        <v>0</v>
      </c>
      <c r="AS86" s="1">
        <v>0</v>
      </c>
      <c r="AT86" s="1">
        <v>0</v>
      </c>
      <c r="AU86" s="1">
        <v>0</v>
      </c>
      <c r="AV86" s="1">
        <v>0</v>
      </c>
      <c r="AW86" s="1">
        <v>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  <c r="BE86" s="1">
        <v>0</v>
      </c>
      <c r="BF86" s="1">
        <v>0</v>
      </c>
      <c r="BG86" s="1">
        <v>0</v>
      </c>
      <c r="BH86" s="1">
        <v>0</v>
      </c>
      <c r="BI86" s="1">
        <v>0</v>
      </c>
      <c r="BJ86" s="1">
        <v>0</v>
      </c>
      <c r="BK86" s="1">
        <v>0</v>
      </c>
    </row>
    <row r="87" spans="1:63">
      <c r="A87" t="s">
        <v>213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0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1">
        <v>0</v>
      </c>
      <c r="AI87" s="1">
        <v>0</v>
      </c>
      <c r="AJ87" s="1">
        <v>0</v>
      </c>
      <c r="AK87" s="1">
        <v>0</v>
      </c>
      <c r="AL87" s="1">
        <v>0</v>
      </c>
      <c r="AM87" s="1">
        <v>0</v>
      </c>
      <c r="AN87" s="1">
        <v>0</v>
      </c>
      <c r="AO87" s="1">
        <v>0</v>
      </c>
      <c r="AP87" s="1">
        <v>0</v>
      </c>
      <c r="AQ87" s="1">
        <v>0</v>
      </c>
      <c r="AR87" s="1">
        <v>0</v>
      </c>
      <c r="AS87" s="1">
        <v>0</v>
      </c>
      <c r="AT87" s="1">
        <v>0</v>
      </c>
      <c r="AU87" s="1">
        <v>0</v>
      </c>
      <c r="AV87" s="1">
        <v>0</v>
      </c>
      <c r="AW87" s="1">
        <v>0</v>
      </c>
      <c r="AX87" s="1">
        <v>0</v>
      </c>
      <c r="AY87" s="1">
        <v>0</v>
      </c>
      <c r="AZ87" s="1">
        <v>0</v>
      </c>
      <c r="BA87" s="1">
        <v>0</v>
      </c>
      <c r="BB87" s="1">
        <v>0</v>
      </c>
      <c r="BC87" s="1">
        <v>0</v>
      </c>
      <c r="BD87" s="1">
        <v>0</v>
      </c>
      <c r="BE87" s="1">
        <v>0</v>
      </c>
      <c r="BF87" s="1">
        <v>0</v>
      </c>
      <c r="BG87" s="1">
        <v>0</v>
      </c>
      <c r="BH87" s="1">
        <v>0</v>
      </c>
      <c r="BI87" s="1">
        <v>0</v>
      </c>
      <c r="BJ87" s="1">
        <v>0</v>
      </c>
      <c r="BK87" s="1">
        <v>0</v>
      </c>
    </row>
    <row r="88" spans="1:63">
      <c r="A88" t="s">
        <v>213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0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1">
        <v>0</v>
      </c>
      <c r="AI88" s="1">
        <v>0</v>
      </c>
      <c r="AJ88" s="1">
        <v>0</v>
      </c>
      <c r="AK88" s="1">
        <v>0</v>
      </c>
      <c r="AL88" s="1">
        <v>0</v>
      </c>
      <c r="AM88" s="1">
        <v>0</v>
      </c>
      <c r="AN88" s="1">
        <v>0</v>
      </c>
      <c r="AO88" s="1">
        <v>0</v>
      </c>
      <c r="AP88" s="1">
        <v>0</v>
      </c>
      <c r="AQ88" s="1">
        <v>0</v>
      </c>
      <c r="AR88" s="1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  <c r="BE88" s="1">
        <v>0</v>
      </c>
      <c r="BF88" s="1">
        <v>0</v>
      </c>
      <c r="BG88" s="1">
        <v>0</v>
      </c>
      <c r="BH88" s="1">
        <v>0</v>
      </c>
      <c r="BI88" s="1">
        <v>0</v>
      </c>
      <c r="BJ88" s="1">
        <v>0</v>
      </c>
      <c r="BK88" s="1">
        <v>0</v>
      </c>
    </row>
    <row r="89" spans="1:63">
      <c r="A89" t="s">
        <v>213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0</v>
      </c>
      <c r="R89" s="1">
        <v>0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1">
        <v>0</v>
      </c>
      <c r="AI89" s="1">
        <v>0</v>
      </c>
      <c r="AJ89" s="1">
        <v>0</v>
      </c>
      <c r="AK89" s="1">
        <v>0</v>
      </c>
      <c r="AL89" s="1">
        <v>0</v>
      </c>
      <c r="AM89" s="1">
        <v>0</v>
      </c>
      <c r="AN89" s="1">
        <v>0</v>
      </c>
      <c r="AO89" s="1">
        <v>0</v>
      </c>
      <c r="AP89" s="1">
        <v>0</v>
      </c>
      <c r="AQ89" s="1">
        <v>0</v>
      </c>
      <c r="AR89" s="1">
        <v>0</v>
      </c>
      <c r="AS89" s="1">
        <v>0</v>
      </c>
      <c r="AT89" s="1">
        <v>0</v>
      </c>
      <c r="AU89" s="1">
        <v>0</v>
      </c>
      <c r="AV89" s="1">
        <v>0</v>
      </c>
      <c r="AW89" s="1">
        <v>0</v>
      </c>
      <c r="AX89" s="1">
        <v>0</v>
      </c>
      <c r="AY89" s="1">
        <v>0</v>
      </c>
      <c r="AZ89" s="1">
        <v>0</v>
      </c>
      <c r="BA89" s="1">
        <v>0</v>
      </c>
      <c r="BB89" s="1">
        <v>0</v>
      </c>
      <c r="BC89" s="1">
        <v>0</v>
      </c>
      <c r="BD89" s="1">
        <v>0</v>
      </c>
      <c r="BE89" s="1">
        <v>0</v>
      </c>
      <c r="BF89" s="1">
        <v>0</v>
      </c>
      <c r="BG89" s="1">
        <v>0</v>
      </c>
      <c r="BH89" s="1">
        <v>0</v>
      </c>
      <c r="BI89" s="1">
        <v>0</v>
      </c>
      <c r="BJ89" s="1">
        <v>0</v>
      </c>
      <c r="BK89" s="1">
        <v>0</v>
      </c>
    </row>
    <row r="90" spans="1:63">
      <c r="A90" t="s">
        <v>213</v>
      </c>
      <c r="B90" s="1">
        <v>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1">
        <v>0</v>
      </c>
      <c r="AI90" s="1">
        <v>0</v>
      </c>
      <c r="AJ90" s="1">
        <v>0</v>
      </c>
      <c r="AK90" s="1">
        <v>0</v>
      </c>
      <c r="AL90" s="1">
        <v>0</v>
      </c>
      <c r="AM90" s="1">
        <v>0</v>
      </c>
      <c r="AN90" s="1">
        <v>0</v>
      </c>
      <c r="AO90" s="1">
        <v>0</v>
      </c>
      <c r="AP90" s="1">
        <v>0</v>
      </c>
      <c r="AQ90" s="1">
        <v>0</v>
      </c>
      <c r="AR90" s="1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  <c r="BE90" s="1">
        <v>0</v>
      </c>
      <c r="BF90" s="1">
        <v>0</v>
      </c>
      <c r="BG90" s="1">
        <v>0</v>
      </c>
      <c r="BH90" s="1">
        <v>0</v>
      </c>
      <c r="BI90" s="1">
        <v>0</v>
      </c>
      <c r="BJ90" s="1">
        <v>0</v>
      </c>
      <c r="BK90" s="1">
        <v>0</v>
      </c>
    </row>
    <row r="91" spans="1:63">
      <c r="A91" t="s">
        <v>213</v>
      </c>
      <c r="B91" s="1">
        <v>0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0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1">
        <v>0</v>
      </c>
      <c r="AI91" s="1">
        <v>0</v>
      </c>
      <c r="AJ91" s="1">
        <v>0</v>
      </c>
      <c r="AK91" s="1">
        <v>0</v>
      </c>
      <c r="AL91" s="1">
        <v>0</v>
      </c>
      <c r="AM91" s="1">
        <v>0</v>
      </c>
      <c r="AN91" s="1">
        <v>0</v>
      </c>
      <c r="AO91" s="1">
        <v>0</v>
      </c>
      <c r="AP91" s="1">
        <v>0</v>
      </c>
      <c r="AQ91" s="1">
        <v>0</v>
      </c>
      <c r="AR91" s="1">
        <v>0</v>
      </c>
      <c r="AS91" s="1">
        <v>0</v>
      </c>
      <c r="AT91" s="1">
        <v>0</v>
      </c>
      <c r="AU91" s="1">
        <v>0</v>
      </c>
      <c r="AV91" s="1">
        <v>0</v>
      </c>
      <c r="AW91" s="1">
        <v>0</v>
      </c>
      <c r="AX91" s="1">
        <v>0</v>
      </c>
      <c r="AY91" s="1">
        <v>0</v>
      </c>
      <c r="AZ91" s="1">
        <v>0</v>
      </c>
      <c r="BA91" s="1">
        <v>0</v>
      </c>
      <c r="BB91" s="1">
        <v>0</v>
      </c>
      <c r="BC91" s="1">
        <v>0</v>
      </c>
      <c r="BD91" s="1">
        <v>0</v>
      </c>
      <c r="BE91" s="1">
        <v>0</v>
      </c>
      <c r="BF91" s="1">
        <v>0</v>
      </c>
      <c r="BG91" s="1">
        <v>0</v>
      </c>
      <c r="BH91" s="1">
        <v>0</v>
      </c>
      <c r="BI91" s="1">
        <v>0</v>
      </c>
      <c r="BJ91" s="1">
        <v>0</v>
      </c>
      <c r="BK91" s="1">
        <v>0</v>
      </c>
    </row>
  </sheetData>
  <sortState xmlns:xlrd2="http://schemas.microsoft.com/office/spreadsheetml/2017/richdata2" ref="A2:BL78">
    <sortCondition ref="BL2:BL78"/>
  </sortState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W63"/>
  <sheetViews>
    <sheetView workbookViewId="0">
      <pane ySplit="1" topLeftCell="A41" activePane="bottomLeft" state="frozen"/>
      <selection pane="bottomLeft" activeCell="E71" sqref="E71"/>
    </sheetView>
  </sheetViews>
  <sheetFormatPr defaultRowHeight="15"/>
  <cols>
    <col min="1" max="1" width="63.5703125" bestFit="1" customWidth="1"/>
    <col min="2" max="2" width="18.85546875" style="6" bestFit="1" customWidth="1"/>
    <col min="3" max="3" width="9.140625" style="6"/>
    <col min="4" max="4" width="12.28515625" style="6" customWidth="1"/>
    <col min="5" max="5" width="9.140625" style="6"/>
    <col min="6" max="6" width="12" style="6" customWidth="1"/>
    <col min="7" max="7" width="13.28515625" style="6" customWidth="1"/>
    <col min="8" max="23" width="9.140625" style="6"/>
  </cols>
  <sheetData>
    <row r="1" spans="1:23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0</v>
      </c>
      <c r="B2" s="6">
        <v>1</v>
      </c>
      <c r="C2" s="6">
        <v>1.6666667E-2</v>
      </c>
      <c r="D2" s="6">
        <v>0</v>
      </c>
      <c r="E2" s="6">
        <v>0</v>
      </c>
      <c r="F2" s="6">
        <v>0</v>
      </c>
      <c r="G2" s="6">
        <v>0</v>
      </c>
      <c r="H2" s="6">
        <v>0</v>
      </c>
      <c r="I2" s="6">
        <v>0</v>
      </c>
      <c r="J2" s="6">
        <v>0.76666666699999997</v>
      </c>
      <c r="K2" s="6">
        <v>0.1</v>
      </c>
      <c r="L2" s="6">
        <v>0</v>
      </c>
      <c r="M2" s="6">
        <v>0</v>
      </c>
      <c r="N2" s="6">
        <v>0.133333333</v>
      </c>
      <c r="O2" s="6">
        <v>0</v>
      </c>
      <c r="P2" s="6">
        <v>0.233333333</v>
      </c>
      <c r="Q2" s="6">
        <v>3.3333333E-2</v>
      </c>
      <c r="R2" s="6">
        <v>3.7</v>
      </c>
      <c r="S2" s="6">
        <v>0</v>
      </c>
      <c r="T2" s="6">
        <v>0</v>
      </c>
      <c r="U2" s="6">
        <v>0</v>
      </c>
      <c r="V2" s="6">
        <v>0</v>
      </c>
      <c r="W2" s="6">
        <v>0</v>
      </c>
    </row>
    <row r="3" spans="1:23">
      <c r="A3" t="s">
        <v>1</v>
      </c>
      <c r="B3" s="6">
        <v>1</v>
      </c>
      <c r="C3" s="6">
        <v>1.3157894999999999E-2</v>
      </c>
      <c r="D3" s="6">
        <v>0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0.71052631600000005</v>
      </c>
      <c r="K3" s="6">
        <v>0.131578947</v>
      </c>
      <c r="L3" s="6">
        <v>0</v>
      </c>
      <c r="M3" s="6">
        <v>0</v>
      </c>
      <c r="N3" s="6">
        <v>0.15789473700000001</v>
      </c>
      <c r="O3" s="6">
        <v>0</v>
      </c>
      <c r="P3" s="6">
        <v>0.42105263199999998</v>
      </c>
      <c r="Q3" s="6">
        <v>2.6315788999999999E-2</v>
      </c>
      <c r="R3" s="6">
        <v>3.8684210530000001</v>
      </c>
      <c r="S3" s="6">
        <v>0</v>
      </c>
      <c r="T3" s="6">
        <v>0</v>
      </c>
      <c r="U3" s="6">
        <v>0</v>
      </c>
      <c r="V3" s="6">
        <v>0</v>
      </c>
      <c r="W3" s="6">
        <v>0</v>
      </c>
    </row>
    <row r="4" spans="1:23">
      <c r="A4" t="s">
        <v>2</v>
      </c>
      <c r="B4" s="6">
        <v>1</v>
      </c>
      <c r="C4" s="6">
        <v>0</v>
      </c>
      <c r="D4" s="6">
        <v>0</v>
      </c>
      <c r="E4" s="6">
        <v>0</v>
      </c>
      <c r="F4" s="6">
        <v>0</v>
      </c>
      <c r="G4" s="6">
        <v>0</v>
      </c>
      <c r="H4" s="6">
        <v>0</v>
      </c>
      <c r="I4" s="6">
        <v>0</v>
      </c>
      <c r="J4" s="6">
        <v>0.76666666699999997</v>
      </c>
      <c r="K4" s="6">
        <v>3.3333333E-2</v>
      </c>
      <c r="L4" s="6">
        <v>0</v>
      </c>
      <c r="M4" s="6">
        <v>0</v>
      </c>
      <c r="N4" s="6">
        <v>0.1</v>
      </c>
      <c r="O4" s="6">
        <v>0</v>
      </c>
      <c r="P4" s="6">
        <v>0</v>
      </c>
      <c r="Q4" s="6">
        <v>0.05</v>
      </c>
      <c r="R4" s="6">
        <v>3.333333E-3</v>
      </c>
      <c r="S4" s="6">
        <v>6.6666670000000003E-3</v>
      </c>
      <c r="T4" s="6">
        <v>0.06</v>
      </c>
      <c r="U4" s="6">
        <v>3</v>
      </c>
      <c r="V4" s="6">
        <v>0</v>
      </c>
      <c r="W4" s="6">
        <v>0</v>
      </c>
    </row>
    <row r="5" spans="1:23">
      <c r="A5" t="s">
        <v>3</v>
      </c>
      <c r="B5" s="6">
        <v>1</v>
      </c>
      <c r="C5" s="6">
        <v>0.5</v>
      </c>
      <c r="D5" s="6">
        <v>0.05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0.2</v>
      </c>
      <c r="K5" s="6">
        <v>0.1</v>
      </c>
      <c r="L5" s="6">
        <v>3.3333333E-2</v>
      </c>
      <c r="M5" s="6">
        <v>0</v>
      </c>
      <c r="N5" s="6">
        <v>0.233333333</v>
      </c>
      <c r="O5" s="6">
        <v>0</v>
      </c>
      <c r="P5" s="6">
        <v>2</v>
      </c>
      <c r="Q5" s="6">
        <v>3.3333333E-2</v>
      </c>
      <c r="R5" s="6">
        <v>6.6666666670000003</v>
      </c>
      <c r="S5" s="6">
        <v>0</v>
      </c>
      <c r="T5" s="6">
        <v>0</v>
      </c>
      <c r="U5" s="6">
        <v>0</v>
      </c>
      <c r="V5" s="6">
        <v>0</v>
      </c>
      <c r="W5" s="6">
        <v>0</v>
      </c>
    </row>
    <row r="6" spans="1:23">
      <c r="A6" t="s">
        <v>4</v>
      </c>
      <c r="B6" s="6">
        <v>1</v>
      </c>
      <c r="C6" s="6">
        <v>7.4999999999999997E-2</v>
      </c>
      <c r="D6" s="6">
        <v>1.2500000000000001E-2</v>
      </c>
      <c r="E6" s="6">
        <v>0</v>
      </c>
      <c r="F6" s="6">
        <v>2.5000000000000001E-2</v>
      </c>
      <c r="G6" s="6">
        <v>2.5000000000000001E-2</v>
      </c>
      <c r="H6" s="6">
        <v>0</v>
      </c>
      <c r="I6" s="6">
        <v>0</v>
      </c>
      <c r="J6" s="6">
        <v>0.67500000000000004</v>
      </c>
      <c r="K6" s="6">
        <v>0.1</v>
      </c>
      <c r="L6" s="6">
        <v>2.5000000000000001E-2</v>
      </c>
      <c r="M6" s="6">
        <v>0</v>
      </c>
      <c r="N6" s="6">
        <v>0.125</v>
      </c>
      <c r="O6" s="6">
        <v>0</v>
      </c>
      <c r="P6" s="6">
        <v>0.5</v>
      </c>
      <c r="Q6" s="6">
        <v>3.7499999999999999E-2</v>
      </c>
      <c r="R6" s="6">
        <v>3.75</v>
      </c>
      <c r="S6" s="6">
        <v>5.0000000000000001E-3</v>
      </c>
      <c r="T6" s="6">
        <v>0</v>
      </c>
      <c r="U6" s="6">
        <v>0</v>
      </c>
      <c r="V6" s="6">
        <v>3.25</v>
      </c>
      <c r="W6" s="6">
        <v>1</v>
      </c>
    </row>
    <row r="7" spans="1:23">
      <c r="A7" t="s">
        <v>5</v>
      </c>
      <c r="B7" s="6">
        <v>1</v>
      </c>
      <c r="C7" s="6">
        <v>0.1</v>
      </c>
      <c r="D7" s="6">
        <v>0</v>
      </c>
      <c r="E7" s="6">
        <v>0</v>
      </c>
      <c r="F7" s="6">
        <v>0</v>
      </c>
      <c r="G7" s="6">
        <v>0</v>
      </c>
      <c r="H7" s="6">
        <v>0</v>
      </c>
      <c r="I7" s="6">
        <v>0</v>
      </c>
      <c r="J7" s="6">
        <v>0.6</v>
      </c>
      <c r="K7" s="6">
        <v>0.4</v>
      </c>
      <c r="L7" s="6">
        <v>0</v>
      </c>
      <c r="M7" s="6">
        <v>0</v>
      </c>
      <c r="N7" s="6">
        <v>0.2</v>
      </c>
      <c r="O7" s="6">
        <v>0</v>
      </c>
      <c r="P7" s="6">
        <v>2</v>
      </c>
      <c r="Q7" s="6">
        <v>0.36</v>
      </c>
      <c r="R7" s="6">
        <v>56.4</v>
      </c>
      <c r="S7" s="6">
        <v>0</v>
      </c>
      <c r="T7" s="6">
        <v>0</v>
      </c>
      <c r="U7" s="6">
        <v>0</v>
      </c>
      <c r="V7" s="6">
        <v>0</v>
      </c>
      <c r="W7" s="6">
        <v>0</v>
      </c>
    </row>
    <row r="8" spans="1:23">
      <c r="A8" t="s">
        <v>6</v>
      </c>
      <c r="B8" s="6">
        <v>1</v>
      </c>
      <c r="C8" s="6">
        <v>0</v>
      </c>
      <c r="D8" s="6">
        <v>0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0.76666666699999997</v>
      </c>
      <c r="K8" s="6">
        <v>0.133333333</v>
      </c>
      <c r="L8" s="6">
        <v>0</v>
      </c>
      <c r="M8" s="6">
        <v>0</v>
      </c>
      <c r="N8" s="6">
        <v>0.1</v>
      </c>
      <c r="O8" s="6">
        <v>0</v>
      </c>
      <c r="P8" s="6">
        <v>0</v>
      </c>
      <c r="Q8" s="6">
        <v>2.4E-2</v>
      </c>
      <c r="R8" s="6">
        <v>0</v>
      </c>
      <c r="S8" s="6">
        <v>0</v>
      </c>
      <c r="T8" s="6">
        <v>0</v>
      </c>
      <c r="U8" s="6">
        <v>0</v>
      </c>
      <c r="V8" s="6">
        <v>0</v>
      </c>
      <c r="W8" s="6">
        <v>0</v>
      </c>
    </row>
    <row r="9" spans="1:23">
      <c r="A9" t="s">
        <v>7</v>
      </c>
      <c r="B9" s="6">
        <v>1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0.78571428600000004</v>
      </c>
      <c r="K9" s="6">
        <v>0</v>
      </c>
      <c r="L9" s="6">
        <v>0</v>
      </c>
      <c r="M9" s="6">
        <v>0</v>
      </c>
      <c r="N9" s="6">
        <v>7.1428570999999996E-2</v>
      </c>
      <c r="O9" s="6">
        <v>0</v>
      </c>
      <c r="P9" s="6">
        <v>0</v>
      </c>
      <c r="Q9" s="6">
        <v>4.6428571000000002E-2</v>
      </c>
      <c r="R9" s="6">
        <v>1.071428571</v>
      </c>
      <c r="S9" s="6">
        <v>8.9285709999999997E-3</v>
      </c>
      <c r="T9" s="6">
        <v>6.7857142999999995E-2</v>
      </c>
      <c r="U9" s="6">
        <v>2.8571428569999999</v>
      </c>
      <c r="V9" s="6">
        <v>0</v>
      </c>
      <c r="W9" s="6">
        <v>0</v>
      </c>
    </row>
    <row r="10" spans="1:23">
      <c r="A10" t="s">
        <v>8</v>
      </c>
      <c r="B10" s="6">
        <v>1</v>
      </c>
      <c r="C10" s="6">
        <v>1.4705882E-2</v>
      </c>
      <c r="D10" s="6">
        <v>0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0.764705882</v>
      </c>
      <c r="K10" s="6">
        <v>2.9411764999999999E-2</v>
      </c>
      <c r="L10" s="6">
        <v>0</v>
      </c>
      <c r="M10" s="6">
        <v>0</v>
      </c>
      <c r="N10" s="6">
        <v>8.8235294000000006E-2</v>
      </c>
      <c r="O10" s="6">
        <v>0</v>
      </c>
      <c r="P10" s="6">
        <v>0.17647058800000001</v>
      </c>
      <c r="Q10" s="6">
        <v>5.8823528999999999E-2</v>
      </c>
      <c r="R10" s="6">
        <v>1.705882353</v>
      </c>
      <c r="S10" s="6">
        <v>5.8823529999999999E-3</v>
      </c>
      <c r="T10" s="6">
        <v>2.9411764999999999E-2</v>
      </c>
      <c r="U10" s="6">
        <v>3.7352941180000001</v>
      </c>
      <c r="V10" s="6">
        <v>0</v>
      </c>
      <c r="W10" s="6">
        <v>0</v>
      </c>
    </row>
    <row r="11" spans="1:23">
      <c r="A11" t="s">
        <v>9</v>
      </c>
      <c r="B11" s="6">
        <v>1</v>
      </c>
      <c r="C11" s="6">
        <v>0.134615385</v>
      </c>
      <c r="D11" s="6">
        <v>3.8461538000000003E-2</v>
      </c>
      <c r="E11" s="6">
        <v>0</v>
      </c>
      <c r="F11" s="6">
        <v>0</v>
      </c>
      <c r="G11" s="6">
        <v>0</v>
      </c>
      <c r="H11" s="6">
        <v>0</v>
      </c>
      <c r="I11" s="6">
        <v>7.307692308</v>
      </c>
      <c r="J11" s="6">
        <v>0</v>
      </c>
      <c r="K11" s="6">
        <v>0</v>
      </c>
      <c r="L11" s="6">
        <v>0</v>
      </c>
      <c r="M11" s="6">
        <v>0</v>
      </c>
      <c r="N11" s="6">
        <v>0.76923076899999998</v>
      </c>
      <c r="O11" s="6">
        <v>0</v>
      </c>
      <c r="P11" s="6">
        <v>1.846153846</v>
      </c>
      <c r="Q11" s="6">
        <v>0.26923076899999998</v>
      </c>
      <c r="R11" s="6">
        <v>0.192307692</v>
      </c>
      <c r="S11" s="6">
        <v>0</v>
      </c>
      <c r="T11" s="6">
        <v>0</v>
      </c>
      <c r="U11" s="6">
        <v>0</v>
      </c>
      <c r="V11" s="6">
        <v>0</v>
      </c>
      <c r="W11" s="6">
        <v>0</v>
      </c>
    </row>
    <row r="12" spans="1:23">
      <c r="A12" t="s">
        <v>10</v>
      </c>
      <c r="B12" s="6">
        <v>1</v>
      </c>
      <c r="C12" s="6">
        <v>0</v>
      </c>
      <c r="D12" s="6">
        <v>0</v>
      </c>
      <c r="E12" s="6">
        <v>0</v>
      </c>
      <c r="F12" s="6">
        <v>0</v>
      </c>
      <c r="G12" s="6">
        <v>0</v>
      </c>
      <c r="H12" s="6">
        <v>0</v>
      </c>
      <c r="I12" s="6">
        <v>7.3333333329999997</v>
      </c>
      <c r="J12" s="6">
        <v>0</v>
      </c>
      <c r="K12" s="6">
        <v>0</v>
      </c>
      <c r="L12" s="6">
        <v>0</v>
      </c>
      <c r="M12" s="6">
        <v>0</v>
      </c>
      <c r="N12" s="6">
        <v>0.9</v>
      </c>
      <c r="O12" s="6">
        <v>0</v>
      </c>
      <c r="P12" s="6">
        <v>0</v>
      </c>
      <c r="Q12" s="6">
        <v>7.6666666999999994E-2</v>
      </c>
      <c r="R12" s="6">
        <v>0.83333333300000001</v>
      </c>
      <c r="S12" s="6">
        <v>0</v>
      </c>
      <c r="T12" s="6">
        <v>0</v>
      </c>
      <c r="U12" s="6">
        <v>0</v>
      </c>
      <c r="V12" s="6">
        <v>0</v>
      </c>
      <c r="W12" s="6">
        <v>0</v>
      </c>
    </row>
    <row r="13" spans="1:23">
      <c r="A13" t="s">
        <v>11</v>
      </c>
      <c r="B13" s="6">
        <v>1</v>
      </c>
      <c r="C13" s="6">
        <v>0</v>
      </c>
      <c r="D13" s="6">
        <v>0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0.8</v>
      </c>
      <c r="O13" s="6">
        <v>0</v>
      </c>
      <c r="P13" s="6">
        <v>0.4</v>
      </c>
      <c r="Q13" s="6">
        <v>0.06</v>
      </c>
      <c r="R13" s="6">
        <v>0</v>
      </c>
      <c r="S13" s="6">
        <v>0</v>
      </c>
      <c r="T13" s="6">
        <v>0</v>
      </c>
      <c r="U13" s="6">
        <v>0</v>
      </c>
      <c r="V13" s="6">
        <v>0</v>
      </c>
      <c r="W13" s="6">
        <v>0</v>
      </c>
    </row>
    <row r="14" spans="1:23">
      <c r="A14" t="s">
        <v>12</v>
      </c>
      <c r="B14" s="6">
        <v>1</v>
      </c>
      <c r="C14" s="6">
        <v>3.3898304999999997E-2</v>
      </c>
      <c r="D14" s="6">
        <v>1.6949153000000002E-2</v>
      </c>
      <c r="E14" s="6">
        <v>0</v>
      </c>
      <c r="F14" s="6">
        <v>0</v>
      </c>
      <c r="G14" s="6">
        <v>0</v>
      </c>
      <c r="H14" s="6">
        <v>1.0169491530000001</v>
      </c>
      <c r="I14" s="6">
        <v>7.796610169</v>
      </c>
      <c r="J14" s="6">
        <v>6.7796609999999993E-2</v>
      </c>
      <c r="K14" s="6">
        <v>0</v>
      </c>
      <c r="L14" s="6">
        <v>3.3898304999999997E-2</v>
      </c>
      <c r="M14" s="6">
        <v>0</v>
      </c>
      <c r="N14" s="6">
        <v>0.77966101700000001</v>
      </c>
      <c r="O14" s="6">
        <v>0</v>
      </c>
      <c r="P14" s="6">
        <v>0.20338983099999999</v>
      </c>
      <c r="Q14" s="6">
        <v>0</v>
      </c>
      <c r="R14" s="6">
        <v>9.1525423729999993</v>
      </c>
      <c r="S14" s="6">
        <v>0</v>
      </c>
      <c r="T14" s="6">
        <v>0</v>
      </c>
      <c r="U14" s="6">
        <v>0</v>
      </c>
      <c r="V14" s="6">
        <v>0</v>
      </c>
      <c r="W14" s="6">
        <v>0</v>
      </c>
    </row>
    <row r="15" spans="1:23">
      <c r="A15" t="s">
        <v>13</v>
      </c>
      <c r="B15" s="6">
        <v>1</v>
      </c>
      <c r="C15" s="6">
        <v>0</v>
      </c>
      <c r="D15" s="6">
        <v>0</v>
      </c>
      <c r="E15" s="6">
        <v>0</v>
      </c>
      <c r="F15" s="6">
        <v>0</v>
      </c>
      <c r="G15" s="6">
        <v>0</v>
      </c>
      <c r="H15" s="6">
        <v>0</v>
      </c>
      <c r="I15" s="6">
        <v>18.75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S15" s="6">
        <v>0</v>
      </c>
      <c r="T15" s="6">
        <v>0</v>
      </c>
      <c r="U15" s="6">
        <v>0</v>
      </c>
      <c r="V15" s="6">
        <v>0</v>
      </c>
      <c r="W15" s="6">
        <v>0</v>
      </c>
    </row>
    <row r="16" spans="1:23">
      <c r="A16" t="s">
        <v>14</v>
      </c>
      <c r="B16" s="6">
        <v>1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480</v>
      </c>
      <c r="J16" s="6">
        <v>1.3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R16" s="6">
        <v>0</v>
      </c>
      <c r="S16" s="6">
        <v>0</v>
      </c>
      <c r="T16" s="6">
        <v>0</v>
      </c>
      <c r="U16" s="6">
        <v>0</v>
      </c>
      <c r="V16" s="6">
        <v>0</v>
      </c>
      <c r="W16" s="6">
        <v>0</v>
      </c>
    </row>
    <row r="17" spans="1:23">
      <c r="A17" t="s">
        <v>15</v>
      </c>
      <c r="B17" s="6">
        <v>1</v>
      </c>
      <c r="C17" s="6">
        <v>7.3333333000000001E-2</v>
      </c>
      <c r="D17" s="6">
        <v>0</v>
      </c>
      <c r="E17" s="6">
        <v>0</v>
      </c>
      <c r="F17" s="6">
        <v>0.01</v>
      </c>
      <c r="G17" s="6">
        <v>1.3333332999999999E-2</v>
      </c>
      <c r="H17" s="6">
        <v>0</v>
      </c>
      <c r="I17" s="6">
        <v>0.59</v>
      </c>
      <c r="J17" s="6">
        <v>1.81</v>
      </c>
      <c r="K17" s="6">
        <v>1.23</v>
      </c>
      <c r="L17" s="6">
        <v>0.05</v>
      </c>
      <c r="M17" s="6">
        <v>0</v>
      </c>
      <c r="N17" s="6">
        <v>8.6666667000000003E-2</v>
      </c>
      <c r="O17" s="6">
        <v>0</v>
      </c>
      <c r="P17" s="6">
        <v>27.833333329999999</v>
      </c>
      <c r="Q17" s="6">
        <v>0.86333333300000004</v>
      </c>
      <c r="R17" s="6">
        <v>11.33333333</v>
      </c>
      <c r="S17" s="6">
        <v>3.333333E-3</v>
      </c>
      <c r="T17" s="6">
        <v>0.03</v>
      </c>
      <c r="U17" s="6">
        <v>0.65666666699999998</v>
      </c>
      <c r="V17" s="6">
        <v>1.3833333329999999</v>
      </c>
      <c r="W17" s="6">
        <v>1.27</v>
      </c>
    </row>
    <row r="18" spans="1:23">
      <c r="A18" t="s">
        <v>16</v>
      </c>
      <c r="B18" s="6">
        <v>1</v>
      </c>
      <c r="C18" s="6">
        <v>0.83333333300000001</v>
      </c>
      <c r="D18" s="6">
        <v>0.6</v>
      </c>
      <c r="E18" s="6">
        <v>0</v>
      </c>
      <c r="F18" s="6">
        <v>0</v>
      </c>
      <c r="G18" s="6">
        <v>0</v>
      </c>
      <c r="H18" s="6">
        <v>0</v>
      </c>
      <c r="I18" s="6">
        <v>0.33333333300000001</v>
      </c>
      <c r="J18" s="6">
        <v>1.1666666670000001</v>
      </c>
      <c r="K18" s="6">
        <v>0.5</v>
      </c>
      <c r="L18" s="6">
        <v>0.66666666699999999</v>
      </c>
      <c r="M18" s="6">
        <v>0</v>
      </c>
      <c r="N18" s="6">
        <v>0.133333333</v>
      </c>
      <c r="O18" s="6">
        <v>0</v>
      </c>
      <c r="P18" s="6">
        <v>3.3333333330000001</v>
      </c>
      <c r="Q18" s="6">
        <v>0.06</v>
      </c>
      <c r="R18" s="6">
        <v>0</v>
      </c>
      <c r="S18" s="6">
        <v>0</v>
      </c>
      <c r="T18" s="6">
        <v>0</v>
      </c>
      <c r="U18" s="6">
        <v>0</v>
      </c>
      <c r="V18" s="6">
        <v>0</v>
      </c>
      <c r="W18" s="6">
        <v>4.2</v>
      </c>
    </row>
    <row r="19" spans="1:23">
      <c r="A19" t="s">
        <v>17</v>
      </c>
      <c r="B19" s="6">
        <v>1</v>
      </c>
      <c r="C19" s="6">
        <v>0.3</v>
      </c>
      <c r="D19" s="6">
        <v>0.1</v>
      </c>
      <c r="E19" s="6">
        <v>0</v>
      </c>
      <c r="F19" s="6">
        <v>0</v>
      </c>
      <c r="G19" s="6">
        <v>0</v>
      </c>
      <c r="H19" s="6">
        <v>0</v>
      </c>
      <c r="I19" s="6">
        <v>6</v>
      </c>
      <c r="J19" s="6">
        <v>1.4</v>
      </c>
      <c r="K19" s="6">
        <v>0.7</v>
      </c>
      <c r="L19" s="6">
        <v>0</v>
      </c>
      <c r="M19" s="6">
        <v>0</v>
      </c>
      <c r="N19" s="6">
        <v>0.1</v>
      </c>
      <c r="O19" s="6">
        <v>0</v>
      </c>
      <c r="P19" s="6">
        <v>0</v>
      </c>
      <c r="Q19" s="6">
        <v>0</v>
      </c>
      <c r="R19" s="6">
        <v>21</v>
      </c>
      <c r="S19" s="6">
        <v>0</v>
      </c>
      <c r="T19" s="6">
        <v>0</v>
      </c>
      <c r="U19" s="6">
        <v>0</v>
      </c>
      <c r="V19" s="6">
        <v>0</v>
      </c>
      <c r="W19" s="6">
        <v>0</v>
      </c>
    </row>
    <row r="20" spans="1:23">
      <c r="A20" t="s">
        <v>18</v>
      </c>
      <c r="B20" s="6">
        <v>1</v>
      </c>
      <c r="C20" s="6">
        <v>0.1</v>
      </c>
      <c r="D20" s="6">
        <v>0</v>
      </c>
      <c r="E20" s="6">
        <v>0</v>
      </c>
      <c r="F20" s="6">
        <v>0</v>
      </c>
      <c r="G20" s="6">
        <v>0</v>
      </c>
      <c r="H20" s="6">
        <v>0</v>
      </c>
      <c r="I20" s="6">
        <v>0</v>
      </c>
      <c r="J20" s="6">
        <v>1.3</v>
      </c>
      <c r="K20" s="6">
        <v>0.3</v>
      </c>
      <c r="L20" s="6">
        <v>0.1</v>
      </c>
      <c r="M20" s="6">
        <v>0</v>
      </c>
      <c r="N20" s="6">
        <v>0.2</v>
      </c>
      <c r="O20" s="6">
        <v>0</v>
      </c>
      <c r="P20" s="6">
        <v>0</v>
      </c>
      <c r="Q20" s="6">
        <v>0</v>
      </c>
      <c r="R20" s="6">
        <v>24</v>
      </c>
      <c r="S20" s="6">
        <v>0</v>
      </c>
      <c r="T20" s="6">
        <v>0</v>
      </c>
      <c r="U20" s="6">
        <v>0</v>
      </c>
      <c r="V20" s="6">
        <v>0</v>
      </c>
      <c r="W20" s="6">
        <v>0</v>
      </c>
    </row>
    <row r="21" spans="1:23">
      <c r="A21" t="s">
        <v>19</v>
      </c>
      <c r="B21" s="6">
        <v>1</v>
      </c>
      <c r="C21" s="6">
        <v>0.133333333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0.33333333300000001</v>
      </c>
      <c r="J21" s="6">
        <v>1.3333333329999999</v>
      </c>
      <c r="K21" s="6">
        <v>0.53333333299999997</v>
      </c>
      <c r="L21" s="6">
        <v>0</v>
      </c>
      <c r="M21" s="6">
        <v>0</v>
      </c>
      <c r="N21" s="6">
        <v>0.2</v>
      </c>
      <c r="O21" s="6">
        <v>0</v>
      </c>
      <c r="P21" s="6">
        <v>6.6666666670000003</v>
      </c>
      <c r="Q21" s="6">
        <v>0.24</v>
      </c>
      <c r="R21" s="6">
        <v>0</v>
      </c>
      <c r="S21" s="6">
        <v>0</v>
      </c>
      <c r="T21" s="6">
        <v>0</v>
      </c>
      <c r="U21" s="6">
        <v>0</v>
      </c>
      <c r="V21" s="6">
        <v>0</v>
      </c>
      <c r="W21" s="6">
        <v>4.2</v>
      </c>
    </row>
    <row r="22" spans="1:23">
      <c r="A22" t="s">
        <v>20</v>
      </c>
      <c r="B22" s="6">
        <v>1</v>
      </c>
      <c r="C22" s="6">
        <v>0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28.88888889</v>
      </c>
      <c r="J22" s="6">
        <v>0.77777777800000003</v>
      </c>
      <c r="K22" s="6">
        <v>0.77777777800000003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S22" s="6">
        <v>0</v>
      </c>
      <c r="T22" s="6">
        <v>0</v>
      </c>
      <c r="U22" s="6">
        <v>0</v>
      </c>
      <c r="V22" s="6">
        <v>0</v>
      </c>
      <c r="W22" s="6">
        <v>0</v>
      </c>
    </row>
    <row r="23" spans="1:23">
      <c r="A23" t="s">
        <v>21</v>
      </c>
      <c r="B23" s="6">
        <v>1</v>
      </c>
      <c r="C23" s="6">
        <v>0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2325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S23" s="6">
        <v>0</v>
      </c>
      <c r="T23" s="6">
        <v>0</v>
      </c>
      <c r="U23" s="6">
        <v>0</v>
      </c>
      <c r="V23" s="6">
        <v>0</v>
      </c>
      <c r="W23" s="6">
        <v>0</v>
      </c>
    </row>
    <row r="24" spans="1:23">
      <c r="A24" t="s">
        <v>22</v>
      </c>
      <c r="B24" s="6">
        <v>1</v>
      </c>
      <c r="C24" s="6">
        <v>0.16666666699999999</v>
      </c>
      <c r="D24" s="6">
        <v>0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2.3333333330000001</v>
      </c>
      <c r="K24" s="6">
        <v>2.33</v>
      </c>
      <c r="L24" s="6">
        <v>0</v>
      </c>
      <c r="M24" s="6">
        <v>0</v>
      </c>
      <c r="N24" s="6">
        <v>0</v>
      </c>
      <c r="O24" s="6">
        <v>0</v>
      </c>
      <c r="P24" s="6">
        <v>9</v>
      </c>
      <c r="Q24" s="6">
        <v>0</v>
      </c>
      <c r="R24" s="6">
        <v>186.66666670000001</v>
      </c>
      <c r="S24" s="6">
        <v>0</v>
      </c>
      <c r="T24" s="6">
        <v>0</v>
      </c>
      <c r="U24" s="6">
        <v>0</v>
      </c>
      <c r="V24" s="6">
        <v>0</v>
      </c>
      <c r="W24" s="6">
        <v>0</v>
      </c>
    </row>
    <row r="25" spans="1:23">
      <c r="A25" t="s">
        <v>23</v>
      </c>
      <c r="B25" s="6">
        <v>1</v>
      </c>
      <c r="C25" s="6">
        <v>0</v>
      </c>
      <c r="D25" s="6">
        <v>0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6">
        <v>2.3333333330000001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R25" s="6">
        <v>0</v>
      </c>
      <c r="S25" s="6">
        <v>0</v>
      </c>
      <c r="T25" s="6">
        <v>0</v>
      </c>
      <c r="U25" s="6">
        <v>0</v>
      </c>
      <c r="V25" s="6">
        <v>0</v>
      </c>
      <c r="W25" s="6">
        <v>0</v>
      </c>
    </row>
    <row r="26" spans="1:23">
      <c r="A26" t="s">
        <v>24</v>
      </c>
      <c r="B26" s="6">
        <v>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0.5</v>
      </c>
      <c r="K26" s="6">
        <v>0</v>
      </c>
      <c r="L26" s="6">
        <v>0.5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R26" s="6">
        <v>0</v>
      </c>
      <c r="S26" s="6">
        <v>0</v>
      </c>
      <c r="T26" s="6">
        <v>0</v>
      </c>
      <c r="U26" s="6">
        <v>0</v>
      </c>
      <c r="V26" s="6">
        <v>0</v>
      </c>
      <c r="W26" s="6">
        <v>0</v>
      </c>
    </row>
    <row r="27" spans="1:23">
      <c r="A27" t="s">
        <v>25</v>
      </c>
      <c r="B27" s="6">
        <v>1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R27" s="6">
        <v>0</v>
      </c>
      <c r="S27" s="6">
        <v>0</v>
      </c>
      <c r="T27" s="6">
        <v>0</v>
      </c>
      <c r="U27" s="6">
        <v>0</v>
      </c>
      <c r="V27" s="6">
        <v>0</v>
      </c>
      <c r="W27" s="6">
        <v>0</v>
      </c>
    </row>
    <row r="28" spans="1:23">
      <c r="A28" t="s">
        <v>26</v>
      </c>
      <c r="B28" s="6">
        <v>0</v>
      </c>
      <c r="C28" s="6">
        <v>0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S28" s="6">
        <v>0</v>
      </c>
      <c r="T28" s="6">
        <v>0</v>
      </c>
      <c r="U28" s="6">
        <v>0</v>
      </c>
      <c r="V28" s="6">
        <v>0</v>
      </c>
      <c r="W28" s="6">
        <v>0</v>
      </c>
    </row>
    <row r="29" spans="1:23">
      <c r="A29" t="s">
        <v>27</v>
      </c>
      <c r="B29" s="6">
        <v>1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5</v>
      </c>
      <c r="J29" s="6">
        <v>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R29" s="6">
        <v>0</v>
      </c>
      <c r="S29" s="6">
        <v>0</v>
      </c>
      <c r="T29" s="6">
        <v>0</v>
      </c>
      <c r="U29" s="6">
        <v>0</v>
      </c>
      <c r="V29" s="6">
        <v>0</v>
      </c>
      <c r="W29" s="6">
        <v>0</v>
      </c>
    </row>
    <row r="30" spans="1:23">
      <c r="A30" t="s">
        <v>28</v>
      </c>
      <c r="B30" s="6">
        <v>1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32</v>
      </c>
      <c r="J30" s="6">
        <v>0.7</v>
      </c>
      <c r="K30" s="6">
        <v>0.1</v>
      </c>
      <c r="L30" s="6">
        <v>0</v>
      </c>
      <c r="M30" s="6">
        <v>0</v>
      </c>
      <c r="N30" s="6">
        <v>0</v>
      </c>
      <c r="O30" s="6">
        <v>0</v>
      </c>
      <c r="P30" s="6">
        <v>0.3</v>
      </c>
      <c r="Q30" s="6">
        <v>0</v>
      </c>
      <c r="R30" s="6">
        <v>1.5</v>
      </c>
      <c r="S30" s="6">
        <v>0</v>
      </c>
      <c r="T30" s="6">
        <v>0</v>
      </c>
      <c r="U30" s="6">
        <v>0</v>
      </c>
      <c r="V30" s="6">
        <v>0</v>
      </c>
      <c r="W30" s="6">
        <v>0</v>
      </c>
    </row>
    <row r="31" spans="1:23">
      <c r="A31" t="s">
        <v>29</v>
      </c>
      <c r="B31" s="6">
        <v>1</v>
      </c>
      <c r="C31" s="6">
        <v>0.26923076899999998</v>
      </c>
      <c r="D31" s="6">
        <v>0</v>
      </c>
      <c r="E31" s="6">
        <v>0</v>
      </c>
      <c r="F31" s="6">
        <v>7.6923077000000006E-2</v>
      </c>
      <c r="G31" s="6">
        <v>0.192307692</v>
      </c>
      <c r="H31" s="6">
        <v>0</v>
      </c>
      <c r="I31" s="6">
        <v>0</v>
      </c>
      <c r="J31" s="6">
        <v>0.38461538499999998</v>
      </c>
      <c r="K31" s="6">
        <v>0.23076923099999999</v>
      </c>
      <c r="L31" s="6">
        <v>0</v>
      </c>
      <c r="M31" s="6">
        <v>0</v>
      </c>
      <c r="N31" s="6">
        <v>0.23076923099999999</v>
      </c>
      <c r="O31" s="6">
        <v>0</v>
      </c>
      <c r="P31" s="6">
        <v>1.538461538</v>
      </c>
      <c r="Q31" s="6">
        <v>7.6923077000000006E-2</v>
      </c>
      <c r="R31" s="6">
        <v>8.307692308</v>
      </c>
      <c r="S31" s="6">
        <v>0</v>
      </c>
      <c r="T31" s="6">
        <v>0</v>
      </c>
      <c r="U31" s="6">
        <v>0</v>
      </c>
      <c r="V31" s="6">
        <v>0</v>
      </c>
      <c r="W31" s="6">
        <v>0</v>
      </c>
    </row>
    <row r="32" spans="1:23">
      <c r="A32" t="s">
        <v>30</v>
      </c>
      <c r="B32" s="6">
        <v>0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S32" s="6">
        <v>0</v>
      </c>
      <c r="T32" s="6">
        <v>0</v>
      </c>
      <c r="U32" s="6">
        <v>0</v>
      </c>
      <c r="V32" s="6">
        <v>0</v>
      </c>
      <c r="W32" s="6">
        <v>0</v>
      </c>
    </row>
    <row r="33" spans="1:23">
      <c r="A33" t="s">
        <v>31</v>
      </c>
      <c r="B33" s="6">
        <v>1</v>
      </c>
      <c r="C33" s="6">
        <v>0.26923076899999998</v>
      </c>
      <c r="D33" s="6">
        <v>1.9230769000000002E-2</v>
      </c>
      <c r="E33" s="6">
        <v>0</v>
      </c>
      <c r="F33" s="6">
        <v>1.9230769000000002E-2</v>
      </c>
      <c r="G33" s="6">
        <v>0.23076923099999999</v>
      </c>
      <c r="H33" s="6">
        <v>0</v>
      </c>
      <c r="I33" s="6">
        <v>0</v>
      </c>
      <c r="J33" s="6">
        <v>0.38461538499999998</v>
      </c>
      <c r="K33" s="6">
        <v>0.38461538499999998</v>
      </c>
      <c r="L33" s="6">
        <v>0</v>
      </c>
      <c r="M33" s="6">
        <v>0</v>
      </c>
      <c r="N33" s="6">
        <v>0.23076923099999999</v>
      </c>
      <c r="O33" s="6">
        <v>0</v>
      </c>
      <c r="P33" s="6">
        <v>5.076923077</v>
      </c>
      <c r="Q33" s="6">
        <v>7.6923077000000006E-2</v>
      </c>
      <c r="R33" s="6">
        <v>7.615384615</v>
      </c>
      <c r="S33" s="6">
        <v>0</v>
      </c>
      <c r="T33" s="6">
        <v>0</v>
      </c>
      <c r="U33" s="6">
        <v>0</v>
      </c>
      <c r="V33" s="6">
        <v>0</v>
      </c>
      <c r="W33" s="6">
        <v>0</v>
      </c>
    </row>
    <row r="34" spans="1:23">
      <c r="A34" t="s">
        <v>32</v>
      </c>
      <c r="B34" s="6">
        <v>1</v>
      </c>
      <c r="C34" s="6">
        <v>0</v>
      </c>
      <c r="D34" s="6">
        <v>0</v>
      </c>
      <c r="E34" s="6">
        <v>0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S34" s="6">
        <v>0</v>
      </c>
      <c r="T34" s="6">
        <v>0</v>
      </c>
      <c r="U34" s="6">
        <v>0</v>
      </c>
      <c r="V34" s="6">
        <v>0</v>
      </c>
      <c r="W34" s="6">
        <v>0</v>
      </c>
    </row>
    <row r="35" spans="1:23">
      <c r="A35" t="s">
        <v>33</v>
      </c>
      <c r="B35" s="6">
        <v>1</v>
      </c>
      <c r="C35" s="6">
        <v>0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S35" s="6">
        <v>0</v>
      </c>
      <c r="T35" s="6">
        <v>0</v>
      </c>
      <c r="U35" s="6">
        <v>0</v>
      </c>
      <c r="V35" s="6">
        <v>0</v>
      </c>
      <c r="W35" s="6">
        <v>0</v>
      </c>
    </row>
    <row r="36" spans="1:23">
      <c r="A36" t="s">
        <v>34</v>
      </c>
      <c r="B36" s="6">
        <v>1</v>
      </c>
      <c r="C36" s="6">
        <v>0</v>
      </c>
      <c r="D36" s="6">
        <v>0</v>
      </c>
      <c r="E36" s="6">
        <v>0</v>
      </c>
      <c r="F36" s="6">
        <v>0</v>
      </c>
      <c r="G36" s="6">
        <v>0</v>
      </c>
      <c r="H36" s="6">
        <v>0</v>
      </c>
      <c r="I36" s="6">
        <v>0</v>
      </c>
      <c r="J36" s="6">
        <v>1</v>
      </c>
      <c r="K36" s="6">
        <v>0</v>
      </c>
      <c r="L36" s="6">
        <v>1</v>
      </c>
      <c r="M36" s="6">
        <v>1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S36" s="6">
        <v>0</v>
      </c>
      <c r="T36" s="6">
        <v>0</v>
      </c>
      <c r="U36" s="6">
        <v>0</v>
      </c>
      <c r="V36" s="6">
        <v>0</v>
      </c>
      <c r="W36" s="6">
        <v>0</v>
      </c>
    </row>
    <row r="37" spans="1:23">
      <c r="A37" t="s">
        <v>35</v>
      </c>
      <c r="B37" s="6">
        <v>1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R37" s="6">
        <v>0</v>
      </c>
      <c r="S37" s="6">
        <v>0</v>
      </c>
      <c r="T37" s="6">
        <v>0</v>
      </c>
      <c r="U37" s="6">
        <v>0</v>
      </c>
      <c r="V37" s="6">
        <v>0</v>
      </c>
      <c r="W37" s="6">
        <v>0</v>
      </c>
    </row>
    <row r="38" spans="1:23">
      <c r="A38" t="s">
        <v>36</v>
      </c>
      <c r="B38" s="6">
        <v>1</v>
      </c>
      <c r="C38" s="6">
        <v>0</v>
      </c>
      <c r="D38" s="6">
        <v>0</v>
      </c>
      <c r="E38" s="6">
        <v>0</v>
      </c>
      <c r="F38" s="6">
        <v>0</v>
      </c>
      <c r="G38" s="6">
        <v>0</v>
      </c>
      <c r="H38" s="6">
        <v>0</v>
      </c>
      <c r="I38" s="6">
        <v>0</v>
      </c>
      <c r="J38" s="6">
        <v>1</v>
      </c>
      <c r="K38" s="6">
        <v>0</v>
      </c>
      <c r="L38" s="6">
        <v>1</v>
      </c>
      <c r="M38" s="6">
        <v>1</v>
      </c>
      <c r="N38" s="6">
        <v>0</v>
      </c>
      <c r="O38" s="6">
        <v>0</v>
      </c>
      <c r="P38" s="6">
        <v>0</v>
      </c>
      <c r="Q38" s="6">
        <v>0</v>
      </c>
      <c r="R38" s="6">
        <v>0</v>
      </c>
      <c r="S38" s="6">
        <v>0</v>
      </c>
      <c r="T38" s="6">
        <v>0</v>
      </c>
      <c r="U38" s="6">
        <v>0</v>
      </c>
      <c r="V38" s="6">
        <v>0</v>
      </c>
      <c r="W38" s="6">
        <v>0</v>
      </c>
    </row>
    <row r="39" spans="1:23">
      <c r="A39" t="s">
        <v>37</v>
      </c>
      <c r="B39" s="6">
        <v>1</v>
      </c>
      <c r="C39" s="6">
        <v>0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0.28333333300000002</v>
      </c>
      <c r="J39" s="6">
        <v>0.96666666700000003</v>
      </c>
      <c r="K39" s="6">
        <v>0</v>
      </c>
      <c r="L39" s="6">
        <v>0.96666666700000003</v>
      </c>
      <c r="M39" s="6">
        <v>0.96666666700000003</v>
      </c>
      <c r="N39" s="6">
        <v>0</v>
      </c>
      <c r="O39" s="6">
        <v>0</v>
      </c>
      <c r="P39" s="6">
        <v>0.83333333300000001</v>
      </c>
      <c r="Q39" s="6">
        <v>0</v>
      </c>
      <c r="R39" s="6">
        <v>0</v>
      </c>
      <c r="S39" s="6">
        <v>0</v>
      </c>
      <c r="T39" s="6">
        <v>0</v>
      </c>
      <c r="U39" s="6">
        <v>0</v>
      </c>
      <c r="V39" s="6">
        <v>0</v>
      </c>
      <c r="W39" s="6">
        <v>0</v>
      </c>
    </row>
    <row r="40" spans="1:23">
      <c r="A40" t="s">
        <v>38</v>
      </c>
      <c r="B40" s="6">
        <v>1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R40" s="6">
        <v>0</v>
      </c>
      <c r="S40" s="6">
        <v>0</v>
      </c>
      <c r="T40" s="6">
        <v>0</v>
      </c>
      <c r="U40" s="6">
        <v>0</v>
      </c>
      <c r="V40" s="6">
        <v>0</v>
      </c>
      <c r="W40" s="6">
        <v>0</v>
      </c>
    </row>
    <row r="41" spans="1:23" s="6" customFormat="1">
      <c r="A41" t="s">
        <v>39</v>
      </c>
      <c r="B41" s="6">
        <v>1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S41" s="6">
        <v>0</v>
      </c>
      <c r="T41" s="6">
        <v>0</v>
      </c>
      <c r="U41" s="6">
        <v>0</v>
      </c>
      <c r="V41" s="6">
        <v>0</v>
      </c>
      <c r="W41" s="6">
        <v>0</v>
      </c>
    </row>
    <row r="42" spans="1:23">
      <c r="A42" t="s">
        <v>40</v>
      </c>
      <c r="B42" s="6">
        <v>1</v>
      </c>
      <c r="C42" s="6">
        <v>0</v>
      </c>
      <c r="D42" s="6">
        <v>0</v>
      </c>
      <c r="E42" s="6">
        <v>0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S42" s="6">
        <v>0</v>
      </c>
      <c r="T42" s="6">
        <v>0</v>
      </c>
      <c r="U42" s="6">
        <v>0</v>
      </c>
      <c r="V42" s="6">
        <v>0</v>
      </c>
      <c r="W42" s="6">
        <v>0</v>
      </c>
    </row>
    <row r="43" spans="1:23">
      <c r="A43" t="s">
        <v>41</v>
      </c>
      <c r="B43" s="6">
        <v>1</v>
      </c>
      <c r="C43" s="6">
        <v>0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S43" s="6">
        <v>0</v>
      </c>
      <c r="T43" s="6">
        <v>0</v>
      </c>
      <c r="U43" s="6">
        <v>0</v>
      </c>
      <c r="V43" s="6">
        <v>0</v>
      </c>
      <c r="W43" s="6">
        <v>0</v>
      </c>
    </row>
    <row r="44" spans="1:23">
      <c r="A44" t="s">
        <v>42</v>
      </c>
      <c r="B44" s="6">
        <v>1</v>
      </c>
      <c r="C44" s="6">
        <v>0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S44" s="6">
        <v>0</v>
      </c>
      <c r="T44" s="6">
        <v>0</v>
      </c>
      <c r="U44" s="6">
        <v>0</v>
      </c>
      <c r="V44" s="6">
        <v>0</v>
      </c>
      <c r="W44" s="6">
        <v>0</v>
      </c>
    </row>
    <row r="45" spans="1:23">
      <c r="A45" t="s">
        <v>43</v>
      </c>
      <c r="B45" s="6">
        <v>1</v>
      </c>
      <c r="C45" s="6">
        <v>0</v>
      </c>
      <c r="D45" s="6">
        <v>0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R45" s="6">
        <v>0</v>
      </c>
      <c r="S45" s="6">
        <v>0</v>
      </c>
      <c r="T45" s="6">
        <v>0</v>
      </c>
      <c r="U45" s="6">
        <v>0</v>
      </c>
      <c r="V45" s="6">
        <v>0</v>
      </c>
      <c r="W45" s="6">
        <v>0</v>
      </c>
    </row>
    <row r="46" spans="1:23">
      <c r="A46" t="s">
        <v>44</v>
      </c>
      <c r="B46" s="6">
        <v>1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R46" s="6">
        <v>0</v>
      </c>
      <c r="S46" s="6">
        <v>0</v>
      </c>
      <c r="T46" s="6">
        <v>0</v>
      </c>
      <c r="U46" s="6">
        <v>0</v>
      </c>
      <c r="V46" s="6">
        <v>0</v>
      </c>
      <c r="W46" s="6">
        <v>0</v>
      </c>
    </row>
    <row r="47" spans="1:23">
      <c r="A47" t="s">
        <v>45</v>
      </c>
      <c r="B47" s="6">
        <v>1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1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R47" s="6">
        <v>2</v>
      </c>
      <c r="S47" s="6">
        <v>0</v>
      </c>
      <c r="T47" s="6">
        <v>0</v>
      </c>
      <c r="U47" s="6">
        <v>0</v>
      </c>
      <c r="V47" s="6">
        <v>0</v>
      </c>
      <c r="W47" s="6">
        <v>0</v>
      </c>
    </row>
    <row r="48" spans="1:23">
      <c r="A48" t="s">
        <v>46</v>
      </c>
      <c r="B48" s="6">
        <v>1</v>
      </c>
      <c r="C48" s="6">
        <v>1</v>
      </c>
      <c r="D48" s="6">
        <v>0.928571429</v>
      </c>
      <c r="E48" s="6">
        <v>0</v>
      </c>
      <c r="F48" s="6">
        <v>7.1428570999999996E-2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S48" s="6">
        <v>0</v>
      </c>
      <c r="T48" s="6">
        <v>0</v>
      </c>
      <c r="U48" s="6">
        <v>0</v>
      </c>
      <c r="V48" s="6">
        <v>0</v>
      </c>
      <c r="W48" s="6">
        <v>0</v>
      </c>
    </row>
    <row r="49" spans="1:23">
      <c r="A49" t="s">
        <v>47</v>
      </c>
      <c r="B49" s="6">
        <v>1</v>
      </c>
      <c r="C49" s="6">
        <v>1</v>
      </c>
      <c r="D49" s="6">
        <v>0.14285714299999999</v>
      </c>
      <c r="E49" s="6">
        <v>0</v>
      </c>
      <c r="F49" s="6">
        <v>0.21428571399999999</v>
      </c>
      <c r="G49" s="6">
        <v>0.571428571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R49" s="6">
        <v>0</v>
      </c>
      <c r="S49" s="6">
        <v>0</v>
      </c>
      <c r="T49" s="6">
        <v>0</v>
      </c>
      <c r="U49" s="6">
        <v>0</v>
      </c>
      <c r="V49" s="6">
        <v>0</v>
      </c>
      <c r="W49" s="6">
        <v>0</v>
      </c>
    </row>
    <row r="50" spans="1:23">
      <c r="A50" t="s">
        <v>48</v>
      </c>
      <c r="B50" s="6">
        <v>1</v>
      </c>
      <c r="C50" s="6">
        <v>1</v>
      </c>
      <c r="D50" s="6">
        <v>7.1428570999999996E-2</v>
      </c>
      <c r="E50" s="6">
        <v>0</v>
      </c>
      <c r="F50" s="6">
        <v>0.571428571</v>
      </c>
      <c r="G50" s="6">
        <v>0.28571428599999998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R50" s="6">
        <v>0</v>
      </c>
      <c r="S50" s="6">
        <v>0</v>
      </c>
      <c r="T50" s="6">
        <v>0</v>
      </c>
      <c r="U50" s="6">
        <v>0</v>
      </c>
      <c r="V50" s="6">
        <v>0</v>
      </c>
      <c r="W50" s="6">
        <v>0</v>
      </c>
    </row>
    <row r="51" spans="1:23">
      <c r="A51" t="s">
        <v>49</v>
      </c>
      <c r="B51" s="6">
        <v>1</v>
      </c>
      <c r="C51" s="6">
        <v>0.81818181800000001</v>
      </c>
      <c r="D51" s="6">
        <v>0.22727272700000001</v>
      </c>
      <c r="E51" s="6">
        <v>0</v>
      </c>
      <c r="F51" s="6">
        <v>0.27272727299999999</v>
      </c>
      <c r="G51" s="6">
        <v>0.27272727299999999</v>
      </c>
      <c r="H51" s="6">
        <v>0</v>
      </c>
      <c r="I51" s="6">
        <v>9.0909090910000003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S51" s="6">
        <v>0</v>
      </c>
      <c r="T51" s="6">
        <v>0</v>
      </c>
      <c r="U51" s="6">
        <v>0</v>
      </c>
      <c r="V51" s="6">
        <v>0</v>
      </c>
      <c r="W51" s="6">
        <v>0</v>
      </c>
    </row>
    <row r="52" spans="1:23">
      <c r="A52" t="s">
        <v>50</v>
      </c>
      <c r="B52" s="6">
        <v>1</v>
      </c>
      <c r="C52" s="6">
        <v>0.95834554800000005</v>
      </c>
      <c r="D52" s="6">
        <v>0.80962147600000001</v>
      </c>
      <c r="E52" s="6">
        <v>0</v>
      </c>
      <c r="F52" s="6">
        <v>4.4999999999999998E-2</v>
      </c>
      <c r="G52" s="6">
        <v>8.5000000000000006E-2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S52" s="6">
        <v>0</v>
      </c>
      <c r="T52" s="6">
        <v>0</v>
      </c>
      <c r="U52" s="6">
        <v>0</v>
      </c>
      <c r="V52" s="6">
        <v>0</v>
      </c>
      <c r="W52" s="6">
        <v>0</v>
      </c>
    </row>
    <row r="53" spans="1:23">
      <c r="A53" t="s">
        <v>51</v>
      </c>
      <c r="B53" s="6">
        <v>1</v>
      </c>
      <c r="C53" s="6">
        <v>0.95834554800000005</v>
      </c>
      <c r="D53" s="6">
        <v>0.80962147600000001</v>
      </c>
      <c r="E53" s="6">
        <v>0</v>
      </c>
      <c r="F53" s="6">
        <v>4.4999999999999998E-2</v>
      </c>
      <c r="G53" s="6">
        <v>8.5000000000000006E-2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</row>
    <row r="54" spans="1:23">
      <c r="A54" t="s">
        <v>52</v>
      </c>
      <c r="B54" s="6">
        <v>1</v>
      </c>
      <c r="C54" s="6">
        <v>0.95834554800000005</v>
      </c>
      <c r="D54" s="6">
        <v>0.80962147600000001</v>
      </c>
      <c r="E54" s="6">
        <v>0</v>
      </c>
      <c r="F54" s="6">
        <v>4.4999999999999998E-2</v>
      </c>
      <c r="G54" s="6">
        <v>8.5000000000000006E-2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</row>
    <row r="55" spans="1:23">
      <c r="A55" t="s">
        <v>53</v>
      </c>
      <c r="B55" s="6">
        <v>1</v>
      </c>
      <c r="C55" s="6">
        <v>0.125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5.9375</v>
      </c>
      <c r="J55" s="6">
        <v>0.375</v>
      </c>
      <c r="K55" s="6">
        <v>0.125</v>
      </c>
      <c r="L55" s="6">
        <v>0.1875</v>
      </c>
      <c r="M55" s="6">
        <v>0.125</v>
      </c>
      <c r="N55" s="6">
        <v>0.5</v>
      </c>
      <c r="O55" s="6">
        <v>0</v>
      </c>
      <c r="P55" s="6">
        <v>1.25</v>
      </c>
      <c r="Q55" s="6">
        <v>2.2499999999999999E-2</v>
      </c>
      <c r="R55" s="6">
        <v>11.75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</row>
    <row r="56" spans="1:23">
      <c r="A56" t="s">
        <v>54</v>
      </c>
      <c r="B56" s="6">
        <v>0</v>
      </c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</row>
    <row r="57" spans="1:23">
      <c r="A57" t="s">
        <v>55</v>
      </c>
      <c r="B57" s="6">
        <v>1</v>
      </c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0.35714285699999998</v>
      </c>
      <c r="J57" s="6">
        <v>1.1428571430000001</v>
      </c>
      <c r="K57" s="6">
        <v>7.1428570999999996E-2</v>
      </c>
      <c r="L57" s="6">
        <v>1.071428571</v>
      </c>
      <c r="M57" s="6">
        <v>0</v>
      </c>
      <c r="N57" s="6">
        <v>0</v>
      </c>
      <c r="O57" s="6">
        <v>0</v>
      </c>
      <c r="P57" s="6">
        <v>2.1428571430000001</v>
      </c>
      <c r="Q57" s="6">
        <v>0.05</v>
      </c>
      <c r="R57" s="6">
        <v>14.28571429</v>
      </c>
      <c r="S57" s="6">
        <v>0</v>
      </c>
      <c r="T57" s="6">
        <v>0</v>
      </c>
      <c r="U57" s="6">
        <v>0</v>
      </c>
      <c r="V57" s="6">
        <v>0</v>
      </c>
      <c r="W57" s="6">
        <v>0.71428571399999996</v>
      </c>
    </row>
    <row r="58" spans="1:23">
      <c r="A58" t="s">
        <v>56</v>
      </c>
      <c r="B58" s="6">
        <v>1</v>
      </c>
      <c r="C58" s="6">
        <v>0.3</v>
      </c>
      <c r="D58" s="6">
        <v>0.16666666699999999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0.66666666699999999</v>
      </c>
      <c r="K58" s="6">
        <v>0</v>
      </c>
      <c r="L58" s="6">
        <v>0.53333333299999997</v>
      </c>
      <c r="M58" s="6">
        <v>0.53333333299999997</v>
      </c>
      <c r="N58" s="6">
        <v>0</v>
      </c>
      <c r="O58" s="6">
        <v>0</v>
      </c>
      <c r="P58" s="6">
        <v>0.4</v>
      </c>
      <c r="Q58" s="6">
        <v>6.6666666999999999E-2</v>
      </c>
      <c r="R58" s="6">
        <v>3.4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</row>
    <row r="59" spans="1:23">
      <c r="A59" t="s">
        <v>57</v>
      </c>
      <c r="B59" s="6">
        <v>1</v>
      </c>
      <c r="C59" s="6">
        <v>0.5625</v>
      </c>
      <c r="D59" s="6">
        <v>6.25E-2</v>
      </c>
      <c r="E59" s="6">
        <v>0</v>
      </c>
      <c r="F59" s="6">
        <v>0</v>
      </c>
      <c r="G59" s="6">
        <v>0</v>
      </c>
      <c r="H59" s="6">
        <v>0</v>
      </c>
      <c r="I59" s="6">
        <v>3.4375</v>
      </c>
      <c r="J59" s="6">
        <v>0.125</v>
      </c>
      <c r="K59" s="6">
        <v>6.25E-2</v>
      </c>
      <c r="L59" s="6">
        <v>0</v>
      </c>
      <c r="M59" s="6">
        <v>0</v>
      </c>
      <c r="N59" s="6">
        <v>0.25</v>
      </c>
      <c r="O59" s="6">
        <v>0</v>
      </c>
      <c r="P59" s="6">
        <v>0.625</v>
      </c>
      <c r="Q59" s="6">
        <v>5.6250000000000001E-2</v>
      </c>
      <c r="R59" s="6">
        <v>7.34375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</row>
    <row r="60" spans="1:23">
      <c r="A60" t="s">
        <v>58</v>
      </c>
      <c r="B60" s="6">
        <v>1</v>
      </c>
      <c r="C60" s="6">
        <v>0.5</v>
      </c>
      <c r="D60" s="6">
        <v>9.375E-2</v>
      </c>
      <c r="E60" s="6">
        <v>0</v>
      </c>
      <c r="F60" s="6">
        <v>0</v>
      </c>
      <c r="G60" s="6">
        <v>0</v>
      </c>
      <c r="H60" s="6">
        <v>0</v>
      </c>
      <c r="I60" s="6">
        <v>3.28125</v>
      </c>
      <c r="J60" s="6">
        <v>0.21875</v>
      </c>
      <c r="K60" s="6">
        <v>9.375E-2</v>
      </c>
      <c r="L60" s="6">
        <v>6.25E-2</v>
      </c>
      <c r="M60" s="6">
        <v>0</v>
      </c>
      <c r="N60" s="6">
        <v>0.25</v>
      </c>
      <c r="O60" s="6">
        <v>0</v>
      </c>
      <c r="P60" s="6">
        <v>0.5625</v>
      </c>
      <c r="Q60" s="6">
        <v>3.125E-2</v>
      </c>
      <c r="R60" s="6">
        <v>6.28125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</row>
    <row r="61" spans="1:23">
      <c r="A61" t="s">
        <v>59</v>
      </c>
      <c r="B61" s="6">
        <v>0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</row>
    <row r="62" spans="1:23">
      <c r="A62" t="s">
        <v>145</v>
      </c>
      <c r="B62" s="6">
        <v>0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</row>
    <row r="63" spans="1:23">
      <c r="A63" t="s">
        <v>211</v>
      </c>
      <c r="B63" s="6">
        <v>1</v>
      </c>
      <c r="C63" s="6">
        <f>4/6</f>
        <v>0.66666666666666663</v>
      </c>
      <c r="D63" s="6">
        <f>4/6</f>
        <v>0.66666666666666663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0.33333333333333331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f>1.2/6</f>
        <v>0.19999999999999998</v>
      </c>
      <c r="Q63" s="6">
        <f>0.13/6</f>
        <v>2.1666666666666667E-2</v>
      </c>
      <c r="R63" s="6">
        <f>72.6/6</f>
        <v>12.1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04A1A-EC94-45D3-B830-49912F4D1C0C}">
  <dimension ref="A1:AD67"/>
  <sheetViews>
    <sheetView workbookViewId="0">
      <pane xSplit="1" topLeftCell="H1" activePane="topRight" state="frozen"/>
      <selection pane="topRight" activeCell="E8" sqref="E8"/>
    </sheetView>
  </sheetViews>
  <sheetFormatPr defaultRowHeight="15"/>
  <cols>
    <col min="1" max="1" width="33.5703125" style="5" bestFit="1" customWidth="1"/>
    <col min="2" max="2" width="13" bestFit="1" customWidth="1"/>
    <col min="3" max="3" width="18.85546875" bestFit="1" customWidth="1"/>
    <col min="4" max="4" width="17.42578125" bestFit="1" customWidth="1"/>
    <col min="5" max="5" width="21.85546875" bestFit="1" customWidth="1"/>
    <col min="6" max="6" width="14.28515625" bestFit="1" customWidth="1"/>
    <col min="7" max="7" width="18.7109375" bestFit="1" customWidth="1"/>
    <col min="8" max="8" width="9" bestFit="1" customWidth="1"/>
    <col min="9" max="10" width="13.28515625" bestFit="1" customWidth="1"/>
    <col min="11" max="11" width="17.7109375" bestFit="1" customWidth="1"/>
    <col min="12" max="12" width="13.42578125" bestFit="1" customWidth="1"/>
    <col min="13" max="13" width="17.85546875" bestFit="1" customWidth="1"/>
    <col min="15" max="15" width="19.7109375" style="6" bestFit="1" customWidth="1"/>
    <col min="16" max="16" width="23.140625" style="6" bestFit="1" customWidth="1"/>
    <col min="17" max="17" width="20" style="6" bestFit="1" customWidth="1"/>
    <col min="18" max="18" width="14.5703125" style="6" bestFit="1" customWidth="1"/>
    <col min="19" max="19" width="19" style="6" bestFit="1" customWidth="1"/>
    <col min="20" max="20" width="19.140625" style="6" bestFit="1" customWidth="1"/>
    <col min="22" max="23" width="9.140625" style="6"/>
    <col min="24" max="24" width="10.42578125" customWidth="1"/>
    <col min="25" max="25" width="9.140625" style="6"/>
    <col min="26" max="27" width="9.140625" style="1"/>
  </cols>
  <sheetData>
    <row r="1" spans="1:30">
      <c r="A1" s="5" t="s">
        <v>122</v>
      </c>
      <c r="B1" s="1" t="s">
        <v>160</v>
      </c>
      <c r="C1" s="1" t="s">
        <v>161</v>
      </c>
      <c r="D1" t="s">
        <v>162</v>
      </c>
      <c r="E1" t="s">
        <v>163</v>
      </c>
      <c r="F1" t="s">
        <v>164</v>
      </c>
      <c r="G1" t="s">
        <v>165</v>
      </c>
      <c r="H1" t="s">
        <v>166</v>
      </c>
      <c r="I1" t="s">
        <v>167</v>
      </c>
      <c r="J1" t="s">
        <v>168</v>
      </c>
      <c r="K1" t="s">
        <v>169</v>
      </c>
      <c r="L1" t="s">
        <v>170</v>
      </c>
      <c r="M1" t="s">
        <v>171</v>
      </c>
      <c r="O1" s="3" t="s">
        <v>172</v>
      </c>
      <c r="P1" s="4" t="s">
        <v>173</v>
      </c>
      <c r="Q1" s="4" t="s">
        <v>174</v>
      </c>
      <c r="R1" s="4" t="s">
        <v>175</v>
      </c>
      <c r="S1" s="4" t="s">
        <v>176</v>
      </c>
      <c r="T1" s="4" t="s">
        <v>177</v>
      </c>
      <c r="V1" s="5" t="s">
        <v>201</v>
      </c>
      <c r="W1" s="5" t="s">
        <v>202</v>
      </c>
      <c r="X1" s="5" t="s">
        <v>203</v>
      </c>
      <c r="Y1" s="5" t="s">
        <v>204</v>
      </c>
    </row>
    <row r="2" spans="1:30">
      <c r="A2" s="5" t="s">
        <v>0</v>
      </c>
      <c r="B2" s="1">
        <v>5</v>
      </c>
      <c r="C2">
        <v>80</v>
      </c>
      <c r="D2">
        <v>17</v>
      </c>
      <c r="E2">
        <f>80*16</f>
        <v>1280</v>
      </c>
      <c r="F2">
        <v>11</v>
      </c>
      <c r="G2">
        <v>80</v>
      </c>
      <c r="O2" s="6">
        <f xml:space="preserve"> IF(ISBLANK(C2), 0, (B2/C2))</f>
        <v>6.25E-2</v>
      </c>
      <c r="P2" s="6">
        <f xml:space="preserve"> IF(ISBLANK(E2 ), 0, D2 /E2 )</f>
        <v>1.328125E-2</v>
      </c>
      <c r="Q2" s="6">
        <f xml:space="preserve"> IF(ISBLANK(G2 ), 0, F2 /G2 )</f>
        <v>0.13750000000000001</v>
      </c>
      <c r="R2" s="6">
        <f xml:space="preserve"> IF(ISBLANK(I2 ), 0, H2 /I2)</f>
        <v>0</v>
      </c>
      <c r="S2" s="6">
        <f xml:space="preserve"> IF(ISBLANK(K2 ), 0, J2 /K2 )</f>
        <v>0</v>
      </c>
      <c r="T2" s="6">
        <f xml:space="preserve"> IF(ISBLANK(M2 ), 0, L2 /M2 )</f>
        <v>0</v>
      </c>
      <c r="V2" s="6" cm="1">
        <f t="array" ref="V2:V67">_xlfn.BYROW(O2:T67, _xlfn.LAMBDA(_xlpm.x, MIN(IF(_xlpm.x&lt;&gt;0, _xlpm.x, "none"))))</f>
        <v>1.328125E-2</v>
      </c>
      <c r="W2" s="6" cm="1">
        <f t="array" ref="W2:W67">_xlfn.BYROW(O2:T67, _xlfn.LAMBDA(_xlpm.x,MAX(IF(_xlpm.x&lt;&gt;0, _xlpm.x, "None"))))</f>
        <v>0.13750000000000001</v>
      </c>
      <c r="X2" s="6">
        <f>$W2-$V2</f>
        <v>0.12421875000000002</v>
      </c>
      <c r="Y2" s="6" t="str" cm="1">
        <f t="array" aca="1" ref="Y2" ca="1">INDIRECT(ADDRESS(1, MATCH(V2, O2:T2, 0) + COLUMN((N2))))</f>
        <v>Amazon(brand) 2(perOz)</v>
      </c>
      <c r="AC2" s="6"/>
      <c r="AD2" s="7"/>
    </row>
    <row r="3" spans="1:30">
      <c r="A3" s="5" t="s">
        <v>1</v>
      </c>
      <c r="B3" s="1">
        <v>5</v>
      </c>
      <c r="C3">
        <v>80</v>
      </c>
      <c r="D3">
        <v>17</v>
      </c>
      <c r="E3">
        <v>80</v>
      </c>
      <c r="F3">
        <v>4.3</v>
      </c>
      <c r="G3">
        <v>80</v>
      </c>
      <c r="H3">
        <v>4</v>
      </c>
      <c r="I3">
        <v>80</v>
      </c>
      <c r="J3">
        <v>0.5</v>
      </c>
      <c r="K3">
        <v>16</v>
      </c>
      <c r="O3" s="6">
        <f t="shared" ref="O3:O66" si="0" xml:space="preserve"> IF(ISBLANK(C3), 0, (B3/C3))</f>
        <v>6.25E-2</v>
      </c>
      <c r="P3" s="6">
        <f t="shared" ref="P3:P66" si="1" xml:space="preserve"> IF(ISBLANK(E3 ), 0, D3 /E3 )</f>
        <v>0.21249999999999999</v>
      </c>
      <c r="Q3" s="6">
        <f t="shared" ref="Q3:Q66" si="2" xml:space="preserve"> IF(ISBLANK(G3 ), 0, F3 /G3 )</f>
        <v>5.3749999999999999E-2</v>
      </c>
      <c r="R3" s="6">
        <f t="shared" ref="R3:R66" si="3" xml:space="preserve"> IF(ISBLANK(I3 ), 0, H3 /I3)</f>
        <v>0.05</v>
      </c>
      <c r="S3" s="6">
        <f t="shared" ref="S3:S66" si="4" xml:space="preserve"> IF(ISBLANK(K3 ), 0, J3 /K3 )</f>
        <v>3.125E-2</v>
      </c>
      <c r="T3" s="6">
        <f t="shared" ref="T3:T66" si="5" xml:space="preserve"> IF(ISBLANK(M3 ), 0, L3 /M3 )</f>
        <v>0</v>
      </c>
      <c r="V3" s="6">
        <v>3.125E-2</v>
      </c>
      <c r="W3" s="6">
        <v>0.21249999999999999</v>
      </c>
      <c r="X3" s="6">
        <f t="shared" ref="X3:X66" si="6">$W3-$V3</f>
        <v>0.18124999999999999</v>
      </c>
      <c r="AC3" s="6"/>
    </row>
    <row r="4" spans="1:30">
      <c r="A4" s="5" t="s">
        <v>178</v>
      </c>
      <c r="B4" s="1">
        <v>5</v>
      </c>
      <c r="C4">
        <v>80</v>
      </c>
      <c r="D4">
        <v>4.5</v>
      </c>
      <c r="E4">
        <v>5</v>
      </c>
      <c r="F4">
        <v>4.5999999999999996</v>
      </c>
      <c r="G4">
        <v>80</v>
      </c>
      <c r="I4">
        <v>16</v>
      </c>
      <c r="O4" s="6">
        <f t="shared" si="0"/>
        <v>6.25E-2</v>
      </c>
      <c r="P4" s="6">
        <f t="shared" si="1"/>
        <v>0.9</v>
      </c>
      <c r="Q4" s="6">
        <f t="shared" si="2"/>
        <v>5.7499999999999996E-2</v>
      </c>
      <c r="R4" s="6">
        <f t="shared" si="3"/>
        <v>0</v>
      </c>
      <c r="S4" s="6">
        <f t="shared" si="4"/>
        <v>0</v>
      </c>
      <c r="T4" s="6">
        <f t="shared" si="5"/>
        <v>0</v>
      </c>
      <c r="V4" s="6">
        <v>5.7499999999999996E-2</v>
      </c>
      <c r="W4" s="6">
        <v>0.9</v>
      </c>
      <c r="X4" s="6">
        <f t="shared" si="6"/>
        <v>0.84250000000000003</v>
      </c>
      <c r="AB4" s="6" t="s">
        <v>205</v>
      </c>
      <c r="AC4" s="6"/>
    </row>
    <row r="5" spans="1:30">
      <c r="A5" s="5" t="s">
        <v>179</v>
      </c>
      <c r="B5" s="1">
        <v>10</v>
      </c>
      <c r="C5">
        <v>16</v>
      </c>
      <c r="D5">
        <v>30</v>
      </c>
      <c r="E5">
        <v>64</v>
      </c>
      <c r="F5">
        <v>9</v>
      </c>
      <c r="G5">
        <v>16</v>
      </c>
      <c r="H5">
        <v>9.5</v>
      </c>
      <c r="I5">
        <v>16</v>
      </c>
      <c r="J5">
        <v>9.1</v>
      </c>
      <c r="L5">
        <v>6.99</v>
      </c>
      <c r="M5">
        <v>16</v>
      </c>
      <c r="O5" s="6">
        <f t="shared" si="0"/>
        <v>0.625</v>
      </c>
      <c r="P5" s="6">
        <f t="shared" si="1"/>
        <v>0.46875</v>
      </c>
      <c r="Q5" s="6">
        <f t="shared" si="2"/>
        <v>0.5625</v>
      </c>
      <c r="R5" s="6">
        <f t="shared" si="3"/>
        <v>0.59375</v>
      </c>
      <c r="S5" s="6">
        <f t="shared" si="4"/>
        <v>0</v>
      </c>
      <c r="T5" s="6">
        <f t="shared" si="5"/>
        <v>0.43687500000000001</v>
      </c>
      <c r="V5" s="6">
        <v>0.43687500000000001</v>
      </c>
      <c r="W5" s="6">
        <v>0.625</v>
      </c>
      <c r="X5" s="6">
        <f t="shared" si="6"/>
        <v>0.18812499999999999</v>
      </c>
      <c r="Y5" s="6" t="e" cm="1">
        <f t="array" aca="1" ref="Y5:Y6" ca="1">INDIRECT(ADDRESS(1, MATCH(V2:V3, O2:T3, 0) + COLUMN((N2))))</f>
        <v>#N/A</v>
      </c>
      <c r="AC5" s="6"/>
    </row>
    <row r="6" spans="1:30">
      <c r="A6" s="5" t="s">
        <v>180</v>
      </c>
      <c r="B6" s="1"/>
      <c r="F6">
        <v>7</v>
      </c>
      <c r="G6">
        <v>42</v>
      </c>
      <c r="J6">
        <v>0.7</v>
      </c>
      <c r="K6">
        <v>16</v>
      </c>
      <c r="O6" s="6">
        <f t="shared" si="0"/>
        <v>0</v>
      </c>
      <c r="P6" s="6">
        <f t="shared" si="1"/>
        <v>0</v>
      </c>
      <c r="Q6" s="6">
        <f t="shared" si="2"/>
        <v>0.16666666666666666</v>
      </c>
      <c r="R6" s="6">
        <f t="shared" si="3"/>
        <v>0</v>
      </c>
      <c r="S6" s="6">
        <f t="shared" si="4"/>
        <v>4.3749999999999997E-2</v>
      </c>
      <c r="T6" s="6">
        <f t="shared" si="5"/>
        <v>0</v>
      </c>
      <c r="V6" s="6">
        <v>4.3749999999999997E-2</v>
      </c>
      <c r="W6" s="6">
        <v>0.16666666666666666</v>
      </c>
      <c r="X6" s="6">
        <f t="shared" si="6"/>
        <v>0.12291666666666666</v>
      </c>
      <c r="Y6" s="6" t="e">
        <f ca="1"/>
        <v>#N/A</v>
      </c>
      <c r="AC6" s="6"/>
    </row>
    <row r="7" spans="1:30">
      <c r="A7" s="5" t="s">
        <v>5</v>
      </c>
      <c r="B7" s="1">
        <v>6</v>
      </c>
      <c r="C7">
        <v>8</v>
      </c>
      <c r="F7">
        <v>5.5</v>
      </c>
      <c r="G7">
        <v>10</v>
      </c>
      <c r="H7">
        <v>3.9</v>
      </c>
      <c r="I7">
        <v>10</v>
      </c>
      <c r="J7">
        <v>3.5</v>
      </c>
      <c r="K7">
        <v>16</v>
      </c>
      <c r="O7" s="6">
        <f t="shared" si="0"/>
        <v>0.75</v>
      </c>
      <c r="P7" s="6">
        <f t="shared" si="1"/>
        <v>0</v>
      </c>
      <c r="Q7" s="6">
        <f t="shared" si="2"/>
        <v>0.55000000000000004</v>
      </c>
      <c r="R7" s="6">
        <f t="shared" si="3"/>
        <v>0.39</v>
      </c>
      <c r="S7" s="6">
        <f t="shared" si="4"/>
        <v>0.21875</v>
      </c>
      <c r="T7" s="6">
        <f t="shared" si="5"/>
        <v>0</v>
      </c>
      <c r="V7" s="6">
        <v>0.21875</v>
      </c>
      <c r="W7" s="6">
        <v>0.75</v>
      </c>
      <c r="X7" s="6">
        <f t="shared" si="6"/>
        <v>0.53125</v>
      </c>
      <c r="AC7" s="6"/>
    </row>
    <row r="8" spans="1:30">
      <c r="A8" s="5" t="s">
        <v>181</v>
      </c>
      <c r="B8" s="1"/>
      <c r="J8">
        <v>0.88</v>
      </c>
      <c r="K8">
        <v>16</v>
      </c>
      <c r="O8" s="6">
        <f t="shared" si="0"/>
        <v>0</v>
      </c>
      <c r="P8" s="6">
        <f t="shared" si="1"/>
        <v>0</v>
      </c>
      <c r="Q8" s="6">
        <f t="shared" si="2"/>
        <v>0</v>
      </c>
      <c r="R8" s="6">
        <f t="shared" si="3"/>
        <v>0</v>
      </c>
      <c r="S8" s="6">
        <f t="shared" si="4"/>
        <v>5.5E-2</v>
      </c>
      <c r="T8" s="6">
        <f t="shared" si="5"/>
        <v>0</v>
      </c>
      <c r="V8" s="6">
        <v>5.5E-2</v>
      </c>
      <c r="W8" s="6">
        <v>5.5E-2</v>
      </c>
      <c r="X8" s="6">
        <f t="shared" si="6"/>
        <v>0</v>
      </c>
      <c r="Y8" s="6" t="s">
        <v>205</v>
      </c>
      <c r="AC8" s="6"/>
    </row>
    <row r="9" spans="1:30">
      <c r="A9" s="5" t="s">
        <v>7</v>
      </c>
      <c r="B9" s="1"/>
      <c r="F9">
        <v>4.8</v>
      </c>
      <c r="G9">
        <v>32</v>
      </c>
      <c r="H9">
        <v>3</v>
      </c>
      <c r="I9">
        <v>26</v>
      </c>
      <c r="J9">
        <v>0.48</v>
      </c>
      <c r="K9">
        <v>16</v>
      </c>
      <c r="O9" s="6">
        <f t="shared" si="0"/>
        <v>0</v>
      </c>
      <c r="P9" s="6">
        <f t="shared" si="1"/>
        <v>0</v>
      </c>
      <c r="Q9" s="6">
        <f t="shared" si="2"/>
        <v>0.15</v>
      </c>
      <c r="R9" s="6">
        <f t="shared" si="3"/>
        <v>0.11538461538461539</v>
      </c>
      <c r="S9" s="6">
        <f t="shared" si="4"/>
        <v>0.03</v>
      </c>
      <c r="T9" s="6">
        <f t="shared" si="5"/>
        <v>0</v>
      </c>
      <c r="V9" s="6">
        <v>0.03</v>
      </c>
      <c r="W9" s="6">
        <v>0.15</v>
      </c>
      <c r="X9" s="6">
        <f t="shared" si="6"/>
        <v>0.12</v>
      </c>
      <c r="AC9" s="6"/>
    </row>
    <row r="10" spans="1:30">
      <c r="A10" s="5" t="s">
        <v>8</v>
      </c>
      <c r="B10" s="1">
        <v>7</v>
      </c>
      <c r="C10">
        <v>80</v>
      </c>
      <c r="D10">
        <v>37</v>
      </c>
      <c r="E10">
        <v>80</v>
      </c>
      <c r="O10" s="6">
        <f t="shared" si="0"/>
        <v>8.7499999999999994E-2</v>
      </c>
      <c r="P10" s="6">
        <f t="shared" si="1"/>
        <v>0.46250000000000002</v>
      </c>
      <c r="Q10" s="6">
        <f t="shared" si="2"/>
        <v>0</v>
      </c>
      <c r="R10" s="6">
        <f t="shared" si="3"/>
        <v>0</v>
      </c>
      <c r="S10" s="6">
        <f t="shared" si="4"/>
        <v>0</v>
      </c>
      <c r="T10" s="6">
        <f t="shared" si="5"/>
        <v>0</v>
      </c>
      <c r="V10" s="6">
        <v>8.7499999999999994E-2</v>
      </c>
      <c r="W10" s="6">
        <v>0.46250000000000002</v>
      </c>
      <c r="X10" s="6">
        <f t="shared" si="6"/>
        <v>0.375</v>
      </c>
      <c r="Y10" s="6" cm="1">
        <f t="array" ref="Y10">_xlfn.LAMBDA(_xlpm.row,_xlpm.y, MATCH(_xlpm.y,_xlpm.row, 0))(O10:T10, V10)</f>
        <v>1</v>
      </c>
      <c r="AC10" s="6"/>
    </row>
    <row r="11" spans="1:30">
      <c r="A11" s="5" t="s">
        <v>9</v>
      </c>
      <c r="D11">
        <v>15</v>
      </c>
      <c r="E11">
        <f>1.72*16</f>
        <v>27.52</v>
      </c>
      <c r="J11">
        <v>8</v>
      </c>
      <c r="K11">
        <v>16</v>
      </c>
      <c r="O11" s="6">
        <f t="shared" si="0"/>
        <v>0</v>
      </c>
      <c r="P11" s="6">
        <f t="shared" si="1"/>
        <v>0.54505813953488369</v>
      </c>
      <c r="Q11" s="6">
        <f t="shared" si="2"/>
        <v>0</v>
      </c>
      <c r="R11" s="6">
        <f t="shared" si="3"/>
        <v>0</v>
      </c>
      <c r="S11" s="6">
        <f t="shared" si="4"/>
        <v>0.5</v>
      </c>
      <c r="T11" s="6">
        <f t="shared" si="5"/>
        <v>0</v>
      </c>
      <c r="V11" s="6">
        <v>0.5</v>
      </c>
      <c r="W11" s="6">
        <v>0.54505813953488369</v>
      </c>
      <c r="X11" s="6">
        <f t="shared" si="6"/>
        <v>4.505813953488369E-2</v>
      </c>
      <c r="AC11" s="6"/>
    </row>
    <row r="12" spans="1:30">
      <c r="A12" s="5" t="s">
        <v>10</v>
      </c>
      <c r="D12">
        <v>22.8</v>
      </c>
      <c r="E12">
        <f>2.2*16</f>
        <v>35.200000000000003</v>
      </c>
      <c r="O12" s="6">
        <f t="shared" si="0"/>
        <v>0</v>
      </c>
      <c r="P12" s="6">
        <f t="shared" si="1"/>
        <v>0.64772727272727271</v>
      </c>
      <c r="Q12" s="6">
        <f t="shared" si="2"/>
        <v>0</v>
      </c>
      <c r="R12" s="6">
        <f t="shared" si="3"/>
        <v>0</v>
      </c>
      <c r="S12" s="6">
        <f t="shared" si="4"/>
        <v>0</v>
      </c>
      <c r="T12" s="6">
        <f t="shared" si="5"/>
        <v>0</v>
      </c>
      <c r="V12" s="6">
        <v>0.64772727272727271</v>
      </c>
      <c r="W12" s="6">
        <v>0.64772727272727271</v>
      </c>
      <c r="X12" s="6">
        <f t="shared" si="6"/>
        <v>0</v>
      </c>
      <c r="Y12" s="6" t="e" cm="1" vm="1">
        <f t="array" ref="Y12">_xlfn.MAP(V12,_xlfn.LAMBDA(_xlpm.y,_xlfn.BYROW(O12:T12, _xlfn.LAMBDA(_xlpm.row,_xlpm.y,MATCH(_xlpm.y,_xlpm.row,0)))))</f>
        <v>#VALUE!</v>
      </c>
      <c r="Z12" s="1" t="s">
        <v>206</v>
      </c>
      <c r="AC12" s="6"/>
    </row>
    <row r="13" spans="1:30">
      <c r="A13" s="5" t="s">
        <v>11</v>
      </c>
      <c r="D13">
        <v>22</v>
      </c>
      <c r="E13">
        <v>32</v>
      </c>
      <c r="O13" s="6">
        <f t="shared" si="0"/>
        <v>0</v>
      </c>
      <c r="P13" s="6">
        <f t="shared" si="1"/>
        <v>0.6875</v>
      </c>
      <c r="Q13" s="6">
        <f t="shared" si="2"/>
        <v>0</v>
      </c>
      <c r="R13" s="6">
        <f t="shared" si="3"/>
        <v>0</v>
      </c>
      <c r="S13" s="6">
        <f t="shared" si="4"/>
        <v>0</v>
      </c>
      <c r="T13" s="6">
        <f t="shared" si="5"/>
        <v>0</v>
      </c>
      <c r="V13" s="6">
        <v>0.6875</v>
      </c>
      <c r="W13" s="6">
        <v>0.6875</v>
      </c>
      <c r="X13" s="6">
        <f t="shared" si="6"/>
        <v>0</v>
      </c>
      <c r="AC13" s="6"/>
    </row>
    <row r="14" spans="1:30">
      <c r="A14" s="5" t="s">
        <v>12</v>
      </c>
      <c r="D14">
        <v>40</v>
      </c>
      <c r="E14">
        <v>28</v>
      </c>
      <c r="O14" s="6">
        <f t="shared" si="0"/>
        <v>0</v>
      </c>
      <c r="P14" s="6">
        <f t="shared" si="1"/>
        <v>1.4285714285714286</v>
      </c>
      <c r="Q14" s="6">
        <f t="shared" si="2"/>
        <v>0</v>
      </c>
      <c r="R14" s="6">
        <f t="shared" si="3"/>
        <v>0</v>
      </c>
      <c r="S14" s="6">
        <f t="shared" si="4"/>
        <v>0</v>
      </c>
      <c r="T14" s="6">
        <f t="shared" si="5"/>
        <v>0</v>
      </c>
      <c r="V14" s="6">
        <v>1.4285714285714286</v>
      </c>
      <c r="W14" s="6">
        <v>1.4285714285714286</v>
      </c>
      <c r="X14" s="6">
        <f t="shared" si="6"/>
        <v>0</v>
      </c>
      <c r="AC14" s="6"/>
    </row>
    <row r="15" spans="1:30">
      <c r="A15" s="5" t="s">
        <v>13</v>
      </c>
      <c r="B15" s="1">
        <v>5.5</v>
      </c>
      <c r="C15">
        <v>64</v>
      </c>
      <c r="F15">
        <v>1.5</v>
      </c>
      <c r="G15">
        <v>16</v>
      </c>
      <c r="H15">
        <v>1.2</v>
      </c>
      <c r="I15">
        <v>16</v>
      </c>
      <c r="J15">
        <v>0.82</v>
      </c>
      <c r="K15">
        <v>16</v>
      </c>
      <c r="O15" s="6">
        <f t="shared" si="0"/>
        <v>8.59375E-2</v>
      </c>
      <c r="P15" s="6">
        <f t="shared" si="1"/>
        <v>0</v>
      </c>
      <c r="Q15" s="6">
        <f t="shared" si="2"/>
        <v>9.375E-2</v>
      </c>
      <c r="R15" s="6">
        <f t="shared" si="3"/>
        <v>7.4999999999999997E-2</v>
      </c>
      <c r="S15" s="6">
        <f t="shared" si="4"/>
        <v>5.1249999999999997E-2</v>
      </c>
      <c r="T15" s="6">
        <f t="shared" si="5"/>
        <v>0</v>
      </c>
      <c r="V15" s="6">
        <v>5.1249999999999997E-2</v>
      </c>
      <c r="W15" s="6">
        <v>9.375E-2</v>
      </c>
      <c r="X15" s="6">
        <f t="shared" si="6"/>
        <v>4.2500000000000003E-2</v>
      </c>
      <c r="AC15" s="6"/>
    </row>
    <row r="16" spans="1:30">
      <c r="A16" s="5" t="s">
        <v>14</v>
      </c>
      <c r="B16" s="1">
        <v>4</v>
      </c>
      <c r="C16">
        <v>8</v>
      </c>
      <c r="F16">
        <v>3.8</v>
      </c>
      <c r="G16">
        <v>8</v>
      </c>
      <c r="H16">
        <v>2.7</v>
      </c>
      <c r="I16">
        <v>8</v>
      </c>
      <c r="J16">
        <v>1.8</v>
      </c>
      <c r="K16">
        <v>16</v>
      </c>
      <c r="O16" s="6">
        <f t="shared" si="0"/>
        <v>0.5</v>
      </c>
      <c r="P16" s="6">
        <f t="shared" si="1"/>
        <v>0</v>
      </c>
      <c r="Q16" s="6">
        <f t="shared" si="2"/>
        <v>0.47499999999999998</v>
      </c>
      <c r="R16" s="6">
        <f t="shared" si="3"/>
        <v>0.33750000000000002</v>
      </c>
      <c r="S16" s="6">
        <f t="shared" si="4"/>
        <v>0.1125</v>
      </c>
      <c r="T16" s="6">
        <f t="shared" si="5"/>
        <v>0</v>
      </c>
      <c r="V16" s="6">
        <v>0.1125</v>
      </c>
      <c r="W16" s="6">
        <v>0.5</v>
      </c>
      <c r="X16" s="6">
        <f t="shared" si="6"/>
        <v>0.38750000000000001</v>
      </c>
      <c r="AC16" s="6"/>
    </row>
    <row r="17" spans="1:29">
      <c r="A17" s="5" t="s">
        <v>182</v>
      </c>
      <c r="B17" s="1">
        <v>7.5</v>
      </c>
      <c r="C17">
        <v>1.25</v>
      </c>
      <c r="F17">
        <v>4.5</v>
      </c>
      <c r="G17">
        <v>2.37</v>
      </c>
      <c r="H17">
        <v>4</v>
      </c>
      <c r="I17">
        <v>4.0999999999999996</v>
      </c>
      <c r="O17" s="6">
        <f t="shared" si="0"/>
        <v>6</v>
      </c>
      <c r="P17" s="6">
        <f t="shared" si="1"/>
        <v>0</v>
      </c>
      <c r="Q17" s="6">
        <f t="shared" si="2"/>
        <v>1.8987341772151898</v>
      </c>
      <c r="R17" s="6">
        <f t="shared" si="3"/>
        <v>0.97560975609756106</v>
      </c>
      <c r="S17" s="6">
        <f t="shared" si="4"/>
        <v>0</v>
      </c>
      <c r="T17" s="6">
        <f t="shared" si="5"/>
        <v>0</v>
      </c>
      <c r="V17" s="6">
        <v>0.97560975609756106</v>
      </c>
      <c r="W17" s="6">
        <v>6</v>
      </c>
      <c r="X17" s="6">
        <f t="shared" si="6"/>
        <v>5.024390243902439</v>
      </c>
      <c r="AC17" s="6"/>
    </row>
    <row r="18" spans="1:29">
      <c r="A18" s="5" t="s">
        <v>183</v>
      </c>
      <c r="B18" s="1">
        <v>9.5</v>
      </c>
      <c r="C18">
        <v>1.8</v>
      </c>
      <c r="F18">
        <v>8.4</v>
      </c>
      <c r="G18">
        <v>1.1000000000000001</v>
      </c>
      <c r="H18">
        <v>4</v>
      </c>
      <c r="I18">
        <v>1.1000000000000001</v>
      </c>
      <c r="O18" s="6">
        <f t="shared" si="0"/>
        <v>5.2777777777777777</v>
      </c>
      <c r="P18" s="6">
        <f t="shared" si="1"/>
        <v>0</v>
      </c>
      <c r="Q18" s="6">
        <f t="shared" si="2"/>
        <v>7.6363636363636358</v>
      </c>
      <c r="R18" s="6">
        <f t="shared" si="3"/>
        <v>3.6363636363636362</v>
      </c>
      <c r="S18" s="6">
        <f t="shared" si="4"/>
        <v>0</v>
      </c>
      <c r="T18" s="6">
        <f t="shared" si="5"/>
        <v>0</v>
      </c>
      <c r="V18" s="6">
        <v>3.6363636363636362</v>
      </c>
      <c r="W18" s="6">
        <v>7.6363636363636358</v>
      </c>
      <c r="X18" s="6">
        <f t="shared" si="6"/>
        <v>3.9999999999999996</v>
      </c>
      <c r="AC18" s="6"/>
    </row>
    <row r="19" spans="1:29">
      <c r="A19" s="5" t="s">
        <v>184</v>
      </c>
      <c r="B19" s="1">
        <v>8</v>
      </c>
      <c r="C19">
        <v>1.75</v>
      </c>
      <c r="F19">
        <v>11</v>
      </c>
      <c r="G19">
        <v>1.9</v>
      </c>
      <c r="O19" s="6">
        <f t="shared" si="0"/>
        <v>4.5714285714285712</v>
      </c>
      <c r="P19" s="6">
        <f t="shared" si="1"/>
        <v>0</v>
      </c>
      <c r="Q19" s="6">
        <f t="shared" si="2"/>
        <v>5.7894736842105265</v>
      </c>
      <c r="R19" s="6">
        <f t="shared" si="3"/>
        <v>0</v>
      </c>
      <c r="S19" s="6">
        <f t="shared" si="4"/>
        <v>0</v>
      </c>
      <c r="T19" s="6">
        <f t="shared" si="5"/>
        <v>0</v>
      </c>
      <c r="V19" s="6">
        <v>4.5714285714285712</v>
      </c>
      <c r="W19" s="6">
        <v>5.7894736842105265</v>
      </c>
      <c r="X19" s="6">
        <f t="shared" si="6"/>
        <v>1.2180451127819554</v>
      </c>
      <c r="AC19" s="6"/>
    </row>
    <row r="20" spans="1:29">
      <c r="A20" s="5" t="s">
        <v>185</v>
      </c>
      <c r="B20" s="1">
        <v>8</v>
      </c>
      <c r="C20">
        <v>1.25</v>
      </c>
      <c r="F20">
        <v>5</v>
      </c>
      <c r="G20">
        <v>1.5</v>
      </c>
      <c r="O20" s="6">
        <f t="shared" si="0"/>
        <v>6.4</v>
      </c>
      <c r="P20" s="6">
        <f t="shared" si="1"/>
        <v>0</v>
      </c>
      <c r="Q20" s="6">
        <f t="shared" si="2"/>
        <v>3.3333333333333335</v>
      </c>
      <c r="R20" s="6">
        <f t="shared" si="3"/>
        <v>0</v>
      </c>
      <c r="S20" s="6">
        <f t="shared" si="4"/>
        <v>0</v>
      </c>
      <c r="T20" s="6">
        <f t="shared" si="5"/>
        <v>0</v>
      </c>
      <c r="V20" s="6">
        <v>3.3333333333333335</v>
      </c>
      <c r="W20" s="6">
        <v>6.4</v>
      </c>
      <c r="X20" s="6">
        <f t="shared" si="6"/>
        <v>3.0666666666666669</v>
      </c>
      <c r="AC20" s="6"/>
    </row>
    <row r="21" spans="1:29">
      <c r="A21" s="5" t="s">
        <v>186</v>
      </c>
      <c r="B21" s="1">
        <v>11.5</v>
      </c>
      <c r="C21">
        <v>1.75</v>
      </c>
      <c r="F21">
        <v>8.5</v>
      </c>
      <c r="G21">
        <v>2</v>
      </c>
      <c r="O21" s="6">
        <f t="shared" si="0"/>
        <v>6.5714285714285712</v>
      </c>
      <c r="P21" s="6">
        <f t="shared" si="1"/>
        <v>0</v>
      </c>
      <c r="Q21" s="6">
        <f t="shared" si="2"/>
        <v>4.25</v>
      </c>
      <c r="R21" s="6">
        <f t="shared" si="3"/>
        <v>0</v>
      </c>
      <c r="S21" s="6">
        <f t="shared" si="4"/>
        <v>0</v>
      </c>
      <c r="T21" s="6">
        <f t="shared" si="5"/>
        <v>0</v>
      </c>
      <c r="V21" s="6">
        <v>4.25</v>
      </c>
      <c r="W21" s="6">
        <v>6.5714285714285712</v>
      </c>
      <c r="X21" s="6">
        <f t="shared" si="6"/>
        <v>2.3214285714285712</v>
      </c>
      <c r="AC21" s="6"/>
    </row>
    <row r="22" spans="1:29">
      <c r="A22" s="5" t="s">
        <v>20</v>
      </c>
      <c r="B22" s="1">
        <v>13</v>
      </c>
      <c r="C22">
        <v>8</v>
      </c>
      <c r="D22">
        <v>20</v>
      </c>
      <c r="E22">
        <v>16</v>
      </c>
      <c r="F22">
        <v>10</v>
      </c>
      <c r="G22">
        <v>8</v>
      </c>
      <c r="O22" s="6">
        <f t="shared" si="0"/>
        <v>1.625</v>
      </c>
      <c r="P22" s="6">
        <f t="shared" si="1"/>
        <v>1.25</v>
      </c>
      <c r="Q22" s="6">
        <f t="shared" si="2"/>
        <v>1.25</v>
      </c>
      <c r="R22" s="6">
        <f t="shared" si="3"/>
        <v>0</v>
      </c>
      <c r="S22" s="6">
        <f t="shared" si="4"/>
        <v>0</v>
      </c>
      <c r="T22" s="6">
        <f t="shared" si="5"/>
        <v>0</v>
      </c>
      <c r="V22" s="6">
        <v>1.25</v>
      </c>
      <c r="W22" s="6">
        <v>1.625</v>
      </c>
      <c r="X22" s="6">
        <f t="shared" si="6"/>
        <v>0.375</v>
      </c>
      <c r="AC22" s="6"/>
    </row>
    <row r="23" spans="1:29">
      <c r="A23" s="5" t="s">
        <v>187</v>
      </c>
      <c r="B23" s="1"/>
      <c r="O23" s="6">
        <f t="shared" si="0"/>
        <v>0</v>
      </c>
      <c r="P23" s="6">
        <f t="shared" si="1"/>
        <v>0</v>
      </c>
      <c r="Q23" s="6">
        <f t="shared" si="2"/>
        <v>0</v>
      </c>
      <c r="R23" s="6">
        <f t="shared" si="3"/>
        <v>0</v>
      </c>
      <c r="S23" s="6">
        <f t="shared" si="4"/>
        <v>0</v>
      </c>
      <c r="T23" s="6">
        <f t="shared" si="5"/>
        <v>0</v>
      </c>
      <c r="V23" s="6">
        <v>0</v>
      </c>
      <c r="W23" s="6">
        <v>0</v>
      </c>
      <c r="X23" s="6">
        <f t="shared" si="6"/>
        <v>0</v>
      </c>
      <c r="AC23" s="6"/>
    </row>
    <row r="24" spans="1:29">
      <c r="A24" s="5" t="s">
        <v>21</v>
      </c>
      <c r="B24" s="1">
        <v>4.8</v>
      </c>
      <c r="C24">
        <v>26</v>
      </c>
      <c r="F24">
        <v>1.9</v>
      </c>
      <c r="H24">
        <v>1.7</v>
      </c>
      <c r="I24">
        <v>26</v>
      </c>
      <c r="O24" s="6">
        <f t="shared" si="0"/>
        <v>0.1846153846153846</v>
      </c>
      <c r="P24" s="6">
        <f t="shared" si="1"/>
        <v>0</v>
      </c>
      <c r="Q24" s="6">
        <f t="shared" si="2"/>
        <v>0</v>
      </c>
      <c r="R24" s="6">
        <f t="shared" si="3"/>
        <v>6.5384615384615388E-2</v>
      </c>
      <c r="S24" s="6">
        <f t="shared" si="4"/>
        <v>0</v>
      </c>
      <c r="T24" s="6">
        <f t="shared" si="5"/>
        <v>0</v>
      </c>
      <c r="V24" s="6">
        <v>6.5384615384615388E-2</v>
      </c>
      <c r="W24" s="6">
        <v>0.1846153846153846</v>
      </c>
      <c r="X24" s="6">
        <f t="shared" si="6"/>
        <v>0.11923076923076921</v>
      </c>
      <c r="AC24" s="6"/>
    </row>
    <row r="25" spans="1:29">
      <c r="A25" s="5" t="s">
        <v>22</v>
      </c>
      <c r="B25" s="1"/>
      <c r="O25" s="6">
        <f t="shared" si="0"/>
        <v>0</v>
      </c>
      <c r="P25" s="6">
        <f t="shared" si="1"/>
        <v>0</v>
      </c>
      <c r="Q25" s="6">
        <f t="shared" si="2"/>
        <v>0</v>
      </c>
      <c r="R25" s="6">
        <f t="shared" si="3"/>
        <v>0</v>
      </c>
      <c r="S25" s="6">
        <f t="shared" si="4"/>
        <v>0</v>
      </c>
      <c r="T25" s="6">
        <f t="shared" si="5"/>
        <v>0</v>
      </c>
      <c r="V25" s="6">
        <v>0</v>
      </c>
      <c r="W25" s="6">
        <v>0</v>
      </c>
      <c r="X25" s="6">
        <f t="shared" si="6"/>
        <v>0</v>
      </c>
      <c r="AC25" s="6"/>
    </row>
    <row r="26" spans="1:29">
      <c r="A26" s="5" t="s">
        <v>23</v>
      </c>
      <c r="B26" s="1">
        <v>3.5</v>
      </c>
      <c r="C26">
        <v>16</v>
      </c>
      <c r="H26">
        <v>2</v>
      </c>
      <c r="I26">
        <v>16</v>
      </c>
      <c r="J26">
        <v>1.3</v>
      </c>
      <c r="K26">
        <v>16</v>
      </c>
      <c r="O26" s="6">
        <f t="shared" si="0"/>
        <v>0.21875</v>
      </c>
      <c r="P26" s="6">
        <f t="shared" si="1"/>
        <v>0</v>
      </c>
      <c r="Q26" s="6">
        <f t="shared" si="2"/>
        <v>0</v>
      </c>
      <c r="R26" s="6">
        <f t="shared" si="3"/>
        <v>0.125</v>
      </c>
      <c r="S26" s="6">
        <f t="shared" si="4"/>
        <v>8.1250000000000003E-2</v>
      </c>
      <c r="T26" s="6">
        <f t="shared" si="5"/>
        <v>0</v>
      </c>
      <c r="V26" s="6">
        <v>8.1250000000000003E-2</v>
      </c>
      <c r="W26" s="6">
        <v>0.21875</v>
      </c>
      <c r="X26" s="6">
        <f t="shared" si="6"/>
        <v>0.13750000000000001</v>
      </c>
      <c r="AC26" s="6"/>
    </row>
    <row r="27" spans="1:29">
      <c r="A27" s="5" t="s">
        <v>24</v>
      </c>
      <c r="B27" s="1">
        <v>7</v>
      </c>
      <c r="C27">
        <v>1</v>
      </c>
      <c r="D27">
        <v>4</v>
      </c>
      <c r="E27">
        <v>1</v>
      </c>
      <c r="F27">
        <v>9.5</v>
      </c>
      <c r="G27">
        <v>2</v>
      </c>
      <c r="O27" s="6">
        <f t="shared" si="0"/>
        <v>7</v>
      </c>
      <c r="P27" s="6">
        <f t="shared" si="1"/>
        <v>4</v>
      </c>
      <c r="Q27" s="6">
        <f t="shared" si="2"/>
        <v>4.75</v>
      </c>
      <c r="R27" s="6">
        <f t="shared" si="3"/>
        <v>0</v>
      </c>
      <c r="S27" s="6">
        <f t="shared" si="4"/>
        <v>0</v>
      </c>
      <c r="T27" s="6">
        <f t="shared" si="5"/>
        <v>0</v>
      </c>
      <c r="V27" s="6">
        <v>4</v>
      </c>
      <c r="W27" s="6">
        <v>7</v>
      </c>
      <c r="X27" s="6">
        <f t="shared" si="6"/>
        <v>3</v>
      </c>
      <c r="AC27" s="6"/>
    </row>
    <row r="28" spans="1:29">
      <c r="A28" s="5" t="s">
        <v>24</v>
      </c>
      <c r="B28" s="1">
        <v>8.5</v>
      </c>
      <c r="C28">
        <v>2</v>
      </c>
      <c r="D28">
        <v>45</v>
      </c>
      <c r="E28">
        <v>16</v>
      </c>
      <c r="H28">
        <v>6.6</v>
      </c>
      <c r="I28">
        <v>2</v>
      </c>
      <c r="O28" s="6">
        <f t="shared" si="0"/>
        <v>4.25</v>
      </c>
      <c r="P28" s="6">
        <f t="shared" si="1"/>
        <v>2.8125</v>
      </c>
      <c r="Q28" s="6">
        <f t="shared" si="2"/>
        <v>0</v>
      </c>
      <c r="R28" s="6">
        <f t="shared" si="3"/>
        <v>3.3</v>
      </c>
      <c r="S28" s="6">
        <f t="shared" si="4"/>
        <v>0</v>
      </c>
      <c r="T28" s="6">
        <f t="shared" si="5"/>
        <v>0</v>
      </c>
      <c r="V28" s="6">
        <v>2.8125</v>
      </c>
      <c r="W28" s="6">
        <v>4.25</v>
      </c>
      <c r="X28" s="6">
        <f t="shared" si="6"/>
        <v>1.4375</v>
      </c>
      <c r="AC28" s="6"/>
    </row>
    <row r="29" spans="1:29">
      <c r="A29" s="5" t="s">
        <v>24</v>
      </c>
      <c r="B29" s="1"/>
      <c r="H29">
        <v>15</v>
      </c>
      <c r="I29">
        <v>4</v>
      </c>
      <c r="O29" s="6">
        <f t="shared" si="0"/>
        <v>0</v>
      </c>
      <c r="P29" s="6">
        <f t="shared" si="1"/>
        <v>0</v>
      </c>
      <c r="Q29" s="6">
        <f t="shared" si="2"/>
        <v>0</v>
      </c>
      <c r="R29" s="6">
        <f t="shared" si="3"/>
        <v>3.75</v>
      </c>
      <c r="S29" s="6">
        <f t="shared" si="4"/>
        <v>0</v>
      </c>
      <c r="T29" s="6">
        <f t="shared" si="5"/>
        <v>0</v>
      </c>
      <c r="V29" s="6">
        <v>3.75</v>
      </c>
      <c r="W29" s="6">
        <v>3.75</v>
      </c>
      <c r="X29" s="6">
        <f t="shared" si="6"/>
        <v>0</v>
      </c>
      <c r="AC29" s="6"/>
    </row>
    <row r="30" spans="1:29">
      <c r="A30" s="5" t="s">
        <v>25</v>
      </c>
      <c r="B30" s="1">
        <v>6.5</v>
      </c>
      <c r="C30">
        <v>2</v>
      </c>
      <c r="F30">
        <v>9.5</v>
      </c>
      <c r="G30">
        <v>2</v>
      </c>
      <c r="H30">
        <v>4</v>
      </c>
      <c r="I30">
        <v>2</v>
      </c>
      <c r="O30" s="6">
        <f t="shared" si="0"/>
        <v>3.25</v>
      </c>
      <c r="P30" s="6">
        <f t="shared" si="1"/>
        <v>0</v>
      </c>
      <c r="Q30" s="6">
        <f t="shared" si="2"/>
        <v>4.75</v>
      </c>
      <c r="R30" s="6">
        <f t="shared" si="3"/>
        <v>2</v>
      </c>
      <c r="S30" s="6">
        <f t="shared" si="4"/>
        <v>0</v>
      </c>
      <c r="T30" s="6">
        <f t="shared" si="5"/>
        <v>0</v>
      </c>
      <c r="V30" s="6">
        <v>2</v>
      </c>
      <c r="W30" s="6">
        <v>4.75</v>
      </c>
      <c r="X30" s="6">
        <f t="shared" si="6"/>
        <v>2.75</v>
      </c>
      <c r="AC30" s="6"/>
    </row>
    <row r="31" spans="1:29">
      <c r="A31" s="5" t="s">
        <v>188</v>
      </c>
      <c r="B31" s="1">
        <v>6.5</v>
      </c>
      <c r="C31">
        <v>2</v>
      </c>
      <c r="D31">
        <v>4.4000000000000004</v>
      </c>
      <c r="E31">
        <v>2</v>
      </c>
      <c r="F31">
        <v>9.5</v>
      </c>
      <c r="G31">
        <v>2</v>
      </c>
      <c r="H31">
        <v>4</v>
      </c>
      <c r="I31">
        <v>2</v>
      </c>
      <c r="O31" s="6">
        <f t="shared" si="0"/>
        <v>3.25</v>
      </c>
      <c r="P31" s="6">
        <f t="shared" si="1"/>
        <v>2.2000000000000002</v>
      </c>
      <c r="Q31" s="6">
        <f t="shared" si="2"/>
        <v>4.75</v>
      </c>
      <c r="R31" s="6">
        <f t="shared" si="3"/>
        <v>2</v>
      </c>
      <c r="S31" s="6">
        <f t="shared" si="4"/>
        <v>0</v>
      </c>
      <c r="T31" s="6">
        <f t="shared" si="5"/>
        <v>0</v>
      </c>
      <c r="V31" s="6">
        <v>2</v>
      </c>
      <c r="W31" s="6">
        <v>4.75</v>
      </c>
      <c r="X31" s="6">
        <f t="shared" si="6"/>
        <v>2.75</v>
      </c>
      <c r="AC31" s="6"/>
    </row>
    <row r="32" spans="1:29">
      <c r="A32" s="5" t="s">
        <v>27</v>
      </c>
      <c r="B32" s="1"/>
      <c r="F32">
        <v>7</v>
      </c>
      <c r="G32">
        <v>7</v>
      </c>
      <c r="O32" s="6">
        <f t="shared" si="0"/>
        <v>0</v>
      </c>
      <c r="P32" s="6">
        <f t="shared" si="1"/>
        <v>0</v>
      </c>
      <c r="Q32" s="6">
        <f t="shared" si="2"/>
        <v>1</v>
      </c>
      <c r="R32" s="6">
        <f t="shared" si="3"/>
        <v>0</v>
      </c>
      <c r="S32" s="6">
        <f t="shared" si="4"/>
        <v>0</v>
      </c>
      <c r="T32" s="6">
        <f t="shared" si="5"/>
        <v>0</v>
      </c>
      <c r="V32" s="6">
        <v>1</v>
      </c>
      <c r="W32" s="6">
        <v>1</v>
      </c>
      <c r="X32" s="6">
        <f t="shared" si="6"/>
        <v>0</v>
      </c>
      <c r="AC32" s="6"/>
    </row>
    <row r="33" spans="1:29">
      <c r="A33" s="5" t="s">
        <v>28</v>
      </c>
      <c r="B33" s="1">
        <v>5</v>
      </c>
      <c r="C33">
        <v>12</v>
      </c>
      <c r="H33">
        <v>4</v>
      </c>
      <c r="I33">
        <v>12</v>
      </c>
      <c r="O33" s="6">
        <f t="shared" si="0"/>
        <v>0.41666666666666669</v>
      </c>
      <c r="P33" s="6">
        <f t="shared" si="1"/>
        <v>0</v>
      </c>
      <c r="Q33" s="6">
        <f t="shared" si="2"/>
        <v>0</v>
      </c>
      <c r="R33" s="6">
        <f t="shared" si="3"/>
        <v>0.33333333333333331</v>
      </c>
      <c r="S33" s="6">
        <f t="shared" si="4"/>
        <v>0</v>
      </c>
      <c r="T33" s="6">
        <f t="shared" si="5"/>
        <v>0</v>
      </c>
      <c r="V33" s="6">
        <v>0.33333333333333331</v>
      </c>
      <c r="W33" s="6">
        <v>0.41666666666666669</v>
      </c>
      <c r="X33" s="6">
        <f t="shared" si="6"/>
        <v>8.333333333333337E-2</v>
      </c>
      <c r="AC33" s="6"/>
    </row>
    <row r="34" spans="1:29">
      <c r="A34" s="5" t="s">
        <v>29</v>
      </c>
      <c r="B34" s="1">
        <v>6</v>
      </c>
      <c r="C34">
        <v>16</v>
      </c>
      <c r="F34">
        <v>5.5</v>
      </c>
      <c r="G34">
        <v>16</v>
      </c>
      <c r="H34">
        <v>4</v>
      </c>
      <c r="I34">
        <v>16</v>
      </c>
      <c r="O34" s="6">
        <f t="shared" si="0"/>
        <v>0.375</v>
      </c>
      <c r="P34" s="6">
        <f t="shared" si="1"/>
        <v>0</v>
      </c>
      <c r="Q34" s="6">
        <f t="shared" si="2"/>
        <v>0.34375</v>
      </c>
      <c r="R34" s="6">
        <f t="shared" si="3"/>
        <v>0.25</v>
      </c>
      <c r="S34" s="6">
        <f t="shared" si="4"/>
        <v>0</v>
      </c>
      <c r="T34" s="6">
        <f t="shared" si="5"/>
        <v>0</v>
      </c>
      <c r="V34" s="6">
        <v>0.25</v>
      </c>
      <c r="W34" s="6">
        <v>0.375</v>
      </c>
      <c r="X34" s="6">
        <f t="shared" si="6"/>
        <v>0.125</v>
      </c>
      <c r="AC34" s="6"/>
    </row>
    <row r="35" spans="1:29">
      <c r="A35" s="5" t="s">
        <v>30</v>
      </c>
      <c r="B35" s="1"/>
      <c r="O35" s="6">
        <f t="shared" si="0"/>
        <v>0</v>
      </c>
      <c r="P35" s="6">
        <f t="shared" si="1"/>
        <v>0</v>
      </c>
      <c r="Q35" s="6">
        <f t="shared" si="2"/>
        <v>0</v>
      </c>
      <c r="R35" s="6">
        <f t="shared" si="3"/>
        <v>0</v>
      </c>
      <c r="S35" s="6">
        <f t="shared" si="4"/>
        <v>0</v>
      </c>
      <c r="T35" s="6">
        <f t="shared" si="5"/>
        <v>0</v>
      </c>
      <c r="V35" s="6">
        <v>0</v>
      </c>
      <c r="W35" s="6">
        <v>0</v>
      </c>
      <c r="X35" s="6">
        <f t="shared" si="6"/>
        <v>0</v>
      </c>
      <c r="AC35" s="6"/>
    </row>
    <row r="36" spans="1:29">
      <c r="A36" s="5" t="s">
        <v>31</v>
      </c>
      <c r="B36" s="1">
        <v>10.5</v>
      </c>
      <c r="C36">
        <v>12</v>
      </c>
      <c r="F36">
        <v>9</v>
      </c>
      <c r="G36">
        <v>12</v>
      </c>
      <c r="H36">
        <v>6.2</v>
      </c>
      <c r="I36">
        <v>12</v>
      </c>
      <c r="O36" s="6">
        <f t="shared" si="0"/>
        <v>0.875</v>
      </c>
      <c r="P36" s="6">
        <f t="shared" si="1"/>
        <v>0</v>
      </c>
      <c r="Q36" s="6">
        <f t="shared" si="2"/>
        <v>0.75</v>
      </c>
      <c r="R36" s="6">
        <f t="shared" si="3"/>
        <v>0.51666666666666672</v>
      </c>
      <c r="S36" s="6">
        <f t="shared" si="4"/>
        <v>0</v>
      </c>
      <c r="T36" s="6">
        <f t="shared" si="5"/>
        <v>0</v>
      </c>
      <c r="V36" s="6">
        <v>0.51666666666666672</v>
      </c>
      <c r="W36" s="6">
        <v>0.875</v>
      </c>
      <c r="X36" s="6">
        <f t="shared" si="6"/>
        <v>0.35833333333333328</v>
      </c>
      <c r="AC36" s="6"/>
    </row>
    <row r="37" spans="1:29">
      <c r="A37" s="5" t="s">
        <v>34</v>
      </c>
      <c r="B37" s="1">
        <v>5</v>
      </c>
      <c r="C37">
        <v>64</v>
      </c>
      <c r="F37">
        <v>5</v>
      </c>
      <c r="G37">
        <v>64</v>
      </c>
      <c r="H37">
        <v>4</v>
      </c>
      <c r="I37">
        <v>64</v>
      </c>
      <c r="J37">
        <v>0.77</v>
      </c>
      <c r="K37">
        <v>16</v>
      </c>
      <c r="O37" s="6">
        <f t="shared" si="0"/>
        <v>7.8125E-2</v>
      </c>
      <c r="P37" s="6">
        <f t="shared" si="1"/>
        <v>0</v>
      </c>
      <c r="Q37" s="6">
        <f t="shared" si="2"/>
        <v>7.8125E-2</v>
      </c>
      <c r="R37" s="6">
        <f t="shared" si="3"/>
        <v>6.25E-2</v>
      </c>
      <c r="S37" s="6">
        <f t="shared" si="4"/>
        <v>4.8125000000000001E-2</v>
      </c>
      <c r="T37" s="6">
        <f t="shared" si="5"/>
        <v>0</v>
      </c>
      <c r="V37" s="6">
        <v>4.8125000000000001E-2</v>
      </c>
      <c r="W37" s="6">
        <v>7.8125E-2</v>
      </c>
      <c r="X37" s="6">
        <f t="shared" si="6"/>
        <v>0.03</v>
      </c>
      <c r="AC37" s="6"/>
    </row>
    <row r="38" spans="1:29">
      <c r="A38" s="5" t="s">
        <v>36</v>
      </c>
      <c r="B38" s="1">
        <v>4.3</v>
      </c>
      <c r="C38">
        <v>32</v>
      </c>
      <c r="F38">
        <v>4</v>
      </c>
      <c r="G38">
        <v>32</v>
      </c>
      <c r="H38">
        <v>3.3</v>
      </c>
      <c r="I38">
        <v>32</v>
      </c>
      <c r="J38">
        <v>0.93</v>
      </c>
      <c r="K38">
        <v>16</v>
      </c>
      <c r="O38" s="6">
        <f t="shared" si="0"/>
        <v>0.13437499999999999</v>
      </c>
      <c r="P38" s="6">
        <f t="shared" si="1"/>
        <v>0</v>
      </c>
      <c r="Q38" s="6">
        <f t="shared" si="2"/>
        <v>0.125</v>
      </c>
      <c r="R38" s="6">
        <f t="shared" si="3"/>
        <v>0.10312499999999999</v>
      </c>
      <c r="S38" s="6">
        <f t="shared" si="4"/>
        <v>5.8125000000000003E-2</v>
      </c>
      <c r="T38" s="6">
        <f t="shared" si="5"/>
        <v>0</v>
      </c>
      <c r="V38" s="6">
        <v>5.8125000000000003E-2</v>
      </c>
      <c r="W38" s="6">
        <v>0.13437499999999999</v>
      </c>
      <c r="X38" s="6">
        <f t="shared" si="6"/>
        <v>7.6249999999999984E-2</v>
      </c>
      <c r="AC38" s="6"/>
    </row>
    <row r="39" spans="1:29">
      <c r="A39" s="5" t="s">
        <v>37</v>
      </c>
      <c r="B39" s="1"/>
      <c r="F39">
        <v>4</v>
      </c>
      <c r="G39">
        <v>32</v>
      </c>
      <c r="J39">
        <v>0.93</v>
      </c>
      <c r="K39">
        <v>16</v>
      </c>
      <c r="O39" s="6">
        <f t="shared" si="0"/>
        <v>0</v>
      </c>
      <c r="P39" s="6">
        <f t="shared" si="1"/>
        <v>0</v>
      </c>
      <c r="Q39" s="6">
        <f t="shared" si="2"/>
        <v>0.125</v>
      </c>
      <c r="R39" s="6">
        <f t="shared" si="3"/>
        <v>0</v>
      </c>
      <c r="S39" s="6">
        <f t="shared" si="4"/>
        <v>5.8125000000000003E-2</v>
      </c>
      <c r="T39" s="6">
        <f t="shared" si="5"/>
        <v>0</v>
      </c>
      <c r="V39" s="6">
        <v>5.8125000000000003E-2</v>
      </c>
      <c r="W39" s="6">
        <v>0.125</v>
      </c>
      <c r="X39" s="6">
        <f t="shared" si="6"/>
        <v>6.687499999999999E-2</v>
      </c>
      <c r="AC39" s="6"/>
    </row>
    <row r="40" spans="1:29">
      <c r="A40" s="5" t="s">
        <v>38</v>
      </c>
      <c r="B40" s="1"/>
      <c r="D40">
        <v>27.7</v>
      </c>
      <c r="E40">
        <v>5</v>
      </c>
      <c r="O40" s="6">
        <f t="shared" si="0"/>
        <v>0</v>
      </c>
      <c r="P40" s="6">
        <f t="shared" si="1"/>
        <v>5.54</v>
      </c>
      <c r="Q40" s="6">
        <f t="shared" si="2"/>
        <v>0</v>
      </c>
      <c r="R40" s="6">
        <f t="shared" si="3"/>
        <v>0</v>
      </c>
      <c r="S40" s="6">
        <f t="shared" si="4"/>
        <v>0</v>
      </c>
      <c r="T40" s="6">
        <f t="shared" si="5"/>
        <v>0</v>
      </c>
      <c r="V40" s="6">
        <v>5.54</v>
      </c>
      <c r="W40" s="6">
        <v>5.54</v>
      </c>
      <c r="X40" s="6">
        <f t="shared" si="6"/>
        <v>0</v>
      </c>
      <c r="AC40" s="6"/>
    </row>
    <row r="41" spans="1:29">
      <c r="A41" s="5" t="s">
        <v>39</v>
      </c>
      <c r="B41" s="1"/>
      <c r="D41">
        <v>17.899999999999999</v>
      </c>
      <c r="E41">
        <v>2.5</v>
      </c>
      <c r="O41" s="6">
        <f t="shared" si="0"/>
        <v>0</v>
      </c>
      <c r="P41" s="6">
        <f t="shared" si="1"/>
        <v>7.1599999999999993</v>
      </c>
      <c r="Q41" s="6">
        <f t="shared" si="2"/>
        <v>0</v>
      </c>
      <c r="R41" s="6">
        <f t="shared" si="3"/>
        <v>0</v>
      </c>
      <c r="S41" s="6">
        <f t="shared" si="4"/>
        <v>0</v>
      </c>
      <c r="T41" s="6">
        <f t="shared" si="5"/>
        <v>0</v>
      </c>
      <c r="V41" s="6">
        <v>7.1599999999999993</v>
      </c>
      <c r="W41" s="6">
        <v>7.1599999999999993</v>
      </c>
      <c r="X41" s="6">
        <f t="shared" si="6"/>
        <v>0</v>
      </c>
      <c r="AC41" s="6"/>
    </row>
    <row r="42" spans="1:29">
      <c r="A42" s="5" t="s">
        <v>40</v>
      </c>
      <c r="B42" s="1">
        <v>11</v>
      </c>
      <c r="C42">
        <v>9.6999999999999993</v>
      </c>
      <c r="D42">
        <v>9.5</v>
      </c>
      <c r="E42">
        <v>9.6999999999999993</v>
      </c>
      <c r="F42">
        <v>9.5</v>
      </c>
      <c r="G42">
        <v>9.6999999999999993</v>
      </c>
      <c r="H42">
        <v>8.8000000000000007</v>
      </c>
      <c r="I42">
        <v>9.6999999999999993</v>
      </c>
      <c r="O42" s="6">
        <f t="shared" si="0"/>
        <v>1.1340206185567012</v>
      </c>
      <c r="P42" s="6">
        <f t="shared" si="1"/>
        <v>0.97938144329896915</v>
      </c>
      <c r="Q42" s="6">
        <f t="shared" si="2"/>
        <v>0.97938144329896915</v>
      </c>
      <c r="R42" s="6">
        <f t="shared" si="3"/>
        <v>0.90721649484536093</v>
      </c>
      <c r="S42" s="6">
        <f t="shared" si="4"/>
        <v>0</v>
      </c>
      <c r="T42" s="6">
        <f t="shared" si="5"/>
        <v>0</v>
      </c>
      <c r="V42" s="6">
        <v>0.90721649484536093</v>
      </c>
      <c r="W42" s="6">
        <v>1.1340206185567012</v>
      </c>
      <c r="X42" s="6">
        <f t="shared" si="6"/>
        <v>0.22680412371134029</v>
      </c>
      <c r="AC42" s="6"/>
    </row>
    <row r="43" spans="1:29">
      <c r="A43" s="5" t="s">
        <v>41</v>
      </c>
      <c r="B43" s="1"/>
      <c r="D43">
        <v>16</v>
      </c>
      <c r="E43">
        <v>16</v>
      </c>
      <c r="O43" s="6">
        <f t="shared" si="0"/>
        <v>0</v>
      </c>
      <c r="P43" s="6">
        <f t="shared" si="1"/>
        <v>1</v>
      </c>
      <c r="Q43" s="6">
        <f t="shared" si="2"/>
        <v>0</v>
      </c>
      <c r="R43" s="6">
        <f t="shared" si="3"/>
        <v>0</v>
      </c>
      <c r="S43" s="6">
        <f t="shared" si="4"/>
        <v>0</v>
      </c>
      <c r="T43" s="6">
        <f t="shared" si="5"/>
        <v>0</v>
      </c>
      <c r="V43" s="6">
        <v>1</v>
      </c>
      <c r="W43" s="6">
        <v>1</v>
      </c>
      <c r="X43" s="6">
        <f t="shared" si="6"/>
        <v>0</v>
      </c>
      <c r="AC43" s="6"/>
    </row>
    <row r="44" spans="1:29">
      <c r="A44" s="5" t="s">
        <v>42</v>
      </c>
      <c r="B44" s="1"/>
      <c r="D44">
        <v>27</v>
      </c>
      <c r="E44">
        <v>48</v>
      </c>
      <c r="F44">
        <v>6.5</v>
      </c>
      <c r="G44">
        <v>12</v>
      </c>
      <c r="O44" s="6">
        <f t="shared" si="0"/>
        <v>0</v>
      </c>
      <c r="P44" s="6">
        <f t="shared" si="1"/>
        <v>0.5625</v>
      </c>
      <c r="Q44" s="6">
        <f t="shared" si="2"/>
        <v>0.54166666666666663</v>
      </c>
      <c r="R44" s="6">
        <f t="shared" si="3"/>
        <v>0</v>
      </c>
      <c r="S44" s="6">
        <f t="shared" si="4"/>
        <v>0</v>
      </c>
      <c r="T44" s="6">
        <f t="shared" si="5"/>
        <v>0</v>
      </c>
      <c r="V44" s="6">
        <v>0.54166666666666663</v>
      </c>
      <c r="W44" s="6">
        <v>0.5625</v>
      </c>
      <c r="X44" s="6">
        <f t="shared" si="6"/>
        <v>2.083333333333337E-2</v>
      </c>
      <c r="AC44" s="6"/>
    </row>
    <row r="45" spans="1:29">
      <c r="A45" s="5" t="s">
        <v>43</v>
      </c>
      <c r="B45" s="1"/>
      <c r="H45">
        <v>5</v>
      </c>
      <c r="I45">
        <v>16</v>
      </c>
      <c r="O45" s="6">
        <f t="shared" si="0"/>
        <v>0</v>
      </c>
      <c r="P45" s="6">
        <f t="shared" si="1"/>
        <v>0</v>
      </c>
      <c r="Q45" s="6">
        <f t="shared" si="2"/>
        <v>0</v>
      </c>
      <c r="R45" s="6">
        <f t="shared" si="3"/>
        <v>0.3125</v>
      </c>
      <c r="S45" s="6">
        <f t="shared" si="4"/>
        <v>0</v>
      </c>
      <c r="T45" s="6">
        <f t="shared" si="5"/>
        <v>0</v>
      </c>
      <c r="V45" s="6">
        <v>0.3125</v>
      </c>
      <c r="W45" s="6">
        <v>0.3125</v>
      </c>
      <c r="X45" s="6">
        <f t="shared" si="6"/>
        <v>0</v>
      </c>
      <c r="AC45" s="6"/>
    </row>
    <row r="46" spans="1:29">
      <c r="A46" s="5" t="s">
        <v>189</v>
      </c>
      <c r="B46" s="1"/>
      <c r="D46">
        <v>21.5</v>
      </c>
      <c r="E46">
        <v>5</v>
      </c>
      <c r="O46" s="6">
        <f t="shared" si="0"/>
        <v>0</v>
      </c>
      <c r="P46" s="6">
        <f t="shared" si="1"/>
        <v>4.3</v>
      </c>
      <c r="Q46" s="6">
        <f t="shared" si="2"/>
        <v>0</v>
      </c>
      <c r="R46" s="6">
        <f t="shared" si="3"/>
        <v>0</v>
      </c>
      <c r="S46" s="6">
        <f t="shared" si="4"/>
        <v>0</v>
      </c>
      <c r="T46" s="6">
        <f t="shared" si="5"/>
        <v>0</v>
      </c>
      <c r="V46" s="6">
        <v>4.3</v>
      </c>
      <c r="W46" s="6">
        <v>4.3</v>
      </c>
      <c r="X46" s="6">
        <f t="shared" si="6"/>
        <v>0</v>
      </c>
      <c r="AC46" s="6"/>
    </row>
    <row r="47" spans="1:29">
      <c r="A47" s="5" t="s">
        <v>190</v>
      </c>
      <c r="B47" s="1"/>
      <c r="D47">
        <v>26</v>
      </c>
      <c r="E47">
        <v>48</v>
      </c>
      <c r="F47">
        <v>15</v>
      </c>
      <c r="G47">
        <v>16</v>
      </c>
      <c r="H47">
        <v>8.9</v>
      </c>
      <c r="I47">
        <v>16</v>
      </c>
      <c r="O47" s="6">
        <f t="shared" si="0"/>
        <v>0</v>
      </c>
      <c r="P47" s="6">
        <f t="shared" si="1"/>
        <v>0.54166666666666663</v>
      </c>
      <c r="Q47" s="6">
        <f t="shared" si="2"/>
        <v>0.9375</v>
      </c>
      <c r="R47" s="6">
        <f t="shared" si="3"/>
        <v>0.55625000000000002</v>
      </c>
      <c r="S47" s="6">
        <f t="shared" si="4"/>
        <v>0</v>
      </c>
      <c r="T47" s="6">
        <f t="shared" si="5"/>
        <v>0</v>
      </c>
      <c r="V47" s="6">
        <v>0.54166666666666663</v>
      </c>
      <c r="W47" s="6">
        <v>0.9375</v>
      </c>
      <c r="X47" s="6">
        <f t="shared" si="6"/>
        <v>0.39583333333333337</v>
      </c>
      <c r="AC47" s="6"/>
    </row>
    <row r="48" spans="1:29">
      <c r="A48" s="5" t="s">
        <v>45</v>
      </c>
      <c r="B48" s="1"/>
      <c r="D48">
        <v>15</v>
      </c>
      <c r="E48">
        <v>16</v>
      </c>
      <c r="O48" s="6">
        <f t="shared" si="0"/>
        <v>0</v>
      </c>
      <c r="P48" s="6">
        <f t="shared" si="1"/>
        <v>0.9375</v>
      </c>
      <c r="Q48" s="6">
        <f t="shared" si="2"/>
        <v>0</v>
      </c>
      <c r="R48" s="6">
        <f t="shared" si="3"/>
        <v>0</v>
      </c>
      <c r="S48" s="6">
        <f t="shared" si="4"/>
        <v>0</v>
      </c>
      <c r="T48" s="6">
        <f t="shared" si="5"/>
        <v>0</v>
      </c>
      <c r="V48" s="6">
        <v>0.9375</v>
      </c>
      <c r="W48" s="6">
        <v>0.9375</v>
      </c>
      <c r="X48" s="6">
        <f t="shared" si="6"/>
        <v>0</v>
      </c>
      <c r="AC48" s="6"/>
    </row>
    <row r="49" spans="1:29">
      <c r="A49" s="5" t="s">
        <v>46</v>
      </c>
      <c r="B49" s="1">
        <v>11</v>
      </c>
      <c r="C49">
        <v>23</v>
      </c>
      <c r="D49">
        <v>5.5</v>
      </c>
      <c r="E49">
        <v>15</v>
      </c>
      <c r="F49">
        <v>6</v>
      </c>
      <c r="G49">
        <v>14</v>
      </c>
      <c r="H49">
        <v>5</v>
      </c>
      <c r="I49">
        <v>30</v>
      </c>
      <c r="O49" s="6">
        <f t="shared" si="0"/>
        <v>0.47826086956521741</v>
      </c>
      <c r="P49" s="6">
        <f t="shared" si="1"/>
        <v>0.36666666666666664</v>
      </c>
      <c r="Q49" s="6">
        <f t="shared" si="2"/>
        <v>0.42857142857142855</v>
      </c>
      <c r="R49" s="6">
        <f t="shared" si="3"/>
        <v>0.16666666666666666</v>
      </c>
      <c r="S49" s="6">
        <f t="shared" si="4"/>
        <v>0</v>
      </c>
      <c r="T49" s="6">
        <f t="shared" si="5"/>
        <v>0</v>
      </c>
      <c r="V49" s="6">
        <v>0.16666666666666666</v>
      </c>
      <c r="W49" s="6">
        <v>0.47826086956521741</v>
      </c>
      <c r="X49" s="6">
        <f t="shared" si="6"/>
        <v>0.31159420289855078</v>
      </c>
      <c r="AC49" s="6"/>
    </row>
    <row r="50" spans="1:29">
      <c r="A50" s="5" t="s">
        <v>191</v>
      </c>
      <c r="B50" s="1"/>
      <c r="H50">
        <v>14.7</v>
      </c>
      <c r="O50" s="6">
        <f t="shared" si="0"/>
        <v>0</v>
      </c>
      <c r="P50" s="6">
        <f t="shared" si="1"/>
        <v>0</v>
      </c>
      <c r="Q50" s="6">
        <f t="shared" si="2"/>
        <v>0</v>
      </c>
      <c r="R50" s="6">
        <f t="shared" si="3"/>
        <v>0</v>
      </c>
      <c r="S50" s="6">
        <f t="shared" si="4"/>
        <v>0</v>
      </c>
      <c r="T50" s="6">
        <f t="shared" si="5"/>
        <v>0</v>
      </c>
      <c r="V50" s="6">
        <v>0</v>
      </c>
      <c r="W50" s="6">
        <v>0</v>
      </c>
      <c r="X50" s="6">
        <f t="shared" si="6"/>
        <v>0</v>
      </c>
      <c r="AC50" s="6"/>
    </row>
    <row r="51" spans="1:29">
      <c r="A51" s="5" t="s">
        <v>47</v>
      </c>
      <c r="B51" s="1">
        <v>6</v>
      </c>
      <c r="C51">
        <v>48</v>
      </c>
      <c r="F51">
        <v>4</v>
      </c>
      <c r="G51">
        <v>48</v>
      </c>
      <c r="H51">
        <v>3.8</v>
      </c>
      <c r="I51">
        <v>48</v>
      </c>
      <c r="O51" s="6">
        <f t="shared" si="0"/>
        <v>0.125</v>
      </c>
      <c r="P51" s="6">
        <f t="shared" si="1"/>
        <v>0</v>
      </c>
      <c r="Q51" s="6">
        <f t="shared" si="2"/>
        <v>8.3333333333333329E-2</v>
      </c>
      <c r="R51" s="6">
        <f t="shared" si="3"/>
        <v>7.9166666666666663E-2</v>
      </c>
      <c r="S51" s="6">
        <f t="shared" si="4"/>
        <v>0</v>
      </c>
      <c r="T51" s="6">
        <f t="shared" si="5"/>
        <v>0</v>
      </c>
      <c r="V51" s="6">
        <v>7.9166666666666663E-2</v>
      </c>
      <c r="W51" s="6">
        <v>0.125</v>
      </c>
      <c r="X51" s="6">
        <f t="shared" si="6"/>
        <v>4.5833333333333337E-2</v>
      </c>
      <c r="AC51" s="6"/>
    </row>
    <row r="52" spans="1:29">
      <c r="A52" s="5" t="s">
        <v>192</v>
      </c>
      <c r="B52" s="1"/>
      <c r="F52">
        <v>6</v>
      </c>
      <c r="G52">
        <v>40</v>
      </c>
      <c r="H52">
        <v>13.2</v>
      </c>
      <c r="I52">
        <v>128</v>
      </c>
      <c r="O52" s="6">
        <f t="shared" si="0"/>
        <v>0</v>
      </c>
      <c r="P52" s="6">
        <f t="shared" si="1"/>
        <v>0</v>
      </c>
      <c r="Q52" s="6">
        <f t="shared" si="2"/>
        <v>0.15</v>
      </c>
      <c r="R52" s="6">
        <f t="shared" si="3"/>
        <v>0.10312499999999999</v>
      </c>
      <c r="S52" s="6">
        <f t="shared" si="4"/>
        <v>0</v>
      </c>
      <c r="T52" s="6">
        <f t="shared" si="5"/>
        <v>0</v>
      </c>
      <c r="V52" s="6">
        <v>0.10312499999999999</v>
      </c>
      <c r="W52" s="6">
        <v>0.15</v>
      </c>
      <c r="X52" s="6">
        <f t="shared" si="6"/>
        <v>4.6875E-2</v>
      </c>
      <c r="AC52" s="6"/>
    </row>
    <row r="53" spans="1:29">
      <c r="A53" s="5" t="s">
        <v>48</v>
      </c>
      <c r="B53" s="1">
        <v>6</v>
      </c>
      <c r="C53">
        <v>48</v>
      </c>
      <c r="H53">
        <v>4.25</v>
      </c>
      <c r="I53">
        <v>48</v>
      </c>
      <c r="O53" s="6">
        <f t="shared" si="0"/>
        <v>0.125</v>
      </c>
      <c r="P53" s="6">
        <f t="shared" si="1"/>
        <v>0</v>
      </c>
      <c r="Q53" s="6">
        <f t="shared" si="2"/>
        <v>0</v>
      </c>
      <c r="R53" s="6">
        <f t="shared" si="3"/>
        <v>8.8541666666666671E-2</v>
      </c>
      <c r="S53" s="6">
        <f t="shared" si="4"/>
        <v>0</v>
      </c>
      <c r="T53" s="6">
        <f t="shared" si="5"/>
        <v>0</v>
      </c>
      <c r="V53" s="6">
        <v>8.8541666666666671E-2</v>
      </c>
      <c r="W53" s="6">
        <v>0.125</v>
      </c>
      <c r="X53" s="6">
        <f t="shared" si="6"/>
        <v>3.6458333333333329E-2</v>
      </c>
      <c r="AC53" s="6"/>
    </row>
    <row r="54" spans="1:29">
      <c r="A54" s="5" t="s">
        <v>193</v>
      </c>
      <c r="B54" s="1"/>
      <c r="F54">
        <v>4.5</v>
      </c>
      <c r="G54">
        <v>48</v>
      </c>
      <c r="H54">
        <v>10</v>
      </c>
      <c r="I54">
        <v>128</v>
      </c>
      <c r="O54" s="6">
        <f t="shared" si="0"/>
        <v>0</v>
      </c>
      <c r="P54" s="6">
        <f t="shared" si="1"/>
        <v>0</v>
      </c>
      <c r="Q54" s="6">
        <f t="shared" si="2"/>
        <v>9.375E-2</v>
      </c>
      <c r="R54" s="6">
        <f t="shared" si="3"/>
        <v>7.8125E-2</v>
      </c>
      <c r="S54" s="6">
        <f t="shared" si="4"/>
        <v>0</v>
      </c>
      <c r="T54" s="6">
        <f t="shared" si="5"/>
        <v>0</v>
      </c>
      <c r="V54" s="6">
        <v>7.8125E-2</v>
      </c>
      <c r="W54" s="6">
        <v>9.375E-2</v>
      </c>
      <c r="X54" s="6">
        <f t="shared" si="6"/>
        <v>1.5625E-2</v>
      </c>
      <c r="AC54" s="6"/>
    </row>
    <row r="55" spans="1:29">
      <c r="A55" s="5" t="s">
        <v>49</v>
      </c>
      <c r="B55" s="1"/>
      <c r="F55">
        <v>7</v>
      </c>
      <c r="G55">
        <v>15</v>
      </c>
      <c r="O55" s="6">
        <f t="shared" si="0"/>
        <v>0</v>
      </c>
      <c r="P55" s="6">
        <f t="shared" si="1"/>
        <v>0</v>
      </c>
      <c r="Q55" s="6">
        <f t="shared" si="2"/>
        <v>0.46666666666666667</v>
      </c>
      <c r="R55" s="6">
        <f t="shared" si="3"/>
        <v>0</v>
      </c>
      <c r="S55" s="6">
        <f t="shared" si="4"/>
        <v>0</v>
      </c>
      <c r="T55" s="6">
        <f t="shared" si="5"/>
        <v>0</v>
      </c>
      <c r="V55" s="6">
        <v>0.46666666666666667</v>
      </c>
      <c r="W55" s="6">
        <v>0.46666666666666667</v>
      </c>
      <c r="X55" s="6">
        <f t="shared" si="6"/>
        <v>0</v>
      </c>
      <c r="AC55" s="6"/>
    </row>
    <row r="56" spans="1:29">
      <c r="A56" s="5" t="s">
        <v>53</v>
      </c>
      <c r="B56" s="1">
        <v>12</v>
      </c>
      <c r="C56">
        <v>16</v>
      </c>
      <c r="D56">
        <v>12</v>
      </c>
      <c r="E56">
        <v>30</v>
      </c>
      <c r="F56">
        <v>10.8</v>
      </c>
      <c r="G56">
        <v>16</v>
      </c>
      <c r="H56">
        <v>6.1</v>
      </c>
      <c r="I56">
        <v>16</v>
      </c>
      <c r="O56" s="6">
        <f t="shared" si="0"/>
        <v>0.75</v>
      </c>
      <c r="P56" s="6">
        <f t="shared" si="1"/>
        <v>0.4</v>
      </c>
      <c r="Q56" s="6">
        <f t="shared" si="2"/>
        <v>0.67500000000000004</v>
      </c>
      <c r="R56" s="6">
        <f t="shared" si="3"/>
        <v>0.38124999999999998</v>
      </c>
      <c r="S56" s="6">
        <f t="shared" si="4"/>
        <v>0</v>
      </c>
      <c r="T56" s="6">
        <f t="shared" si="5"/>
        <v>0</v>
      </c>
      <c r="V56" s="6">
        <v>0.38124999999999998</v>
      </c>
      <c r="W56" s="6">
        <v>0.75</v>
      </c>
      <c r="X56" s="6">
        <f t="shared" si="6"/>
        <v>0.36875000000000002</v>
      </c>
      <c r="AC56" s="6"/>
    </row>
    <row r="57" spans="1:29">
      <c r="A57" s="5" t="s">
        <v>194</v>
      </c>
      <c r="B57" s="1"/>
      <c r="D57">
        <v>28</v>
      </c>
      <c r="E57">
        <v>48</v>
      </c>
      <c r="F57">
        <v>11</v>
      </c>
      <c r="G57">
        <v>36</v>
      </c>
      <c r="O57" s="6">
        <f t="shared" si="0"/>
        <v>0</v>
      </c>
      <c r="P57" s="6">
        <f t="shared" si="1"/>
        <v>0.58333333333333337</v>
      </c>
      <c r="Q57" s="6">
        <f t="shared" si="2"/>
        <v>0.30555555555555558</v>
      </c>
      <c r="R57" s="6">
        <f t="shared" si="3"/>
        <v>0</v>
      </c>
      <c r="S57" s="6">
        <f t="shared" si="4"/>
        <v>0</v>
      </c>
      <c r="T57" s="6">
        <f t="shared" si="5"/>
        <v>0</v>
      </c>
      <c r="V57" s="6">
        <v>0.30555555555555558</v>
      </c>
      <c r="W57" s="6">
        <v>0.58333333333333337</v>
      </c>
      <c r="X57" s="6">
        <f t="shared" si="6"/>
        <v>0.27777777777777779</v>
      </c>
      <c r="AC57" s="6"/>
    </row>
    <row r="58" spans="1:29">
      <c r="A58" s="5" t="s">
        <v>55</v>
      </c>
      <c r="B58" s="1">
        <v>6</v>
      </c>
      <c r="C58">
        <v>12</v>
      </c>
      <c r="F58">
        <v>5</v>
      </c>
      <c r="G58">
        <v>12</v>
      </c>
      <c r="O58" s="6">
        <f t="shared" si="0"/>
        <v>0.5</v>
      </c>
      <c r="P58" s="6">
        <f t="shared" si="1"/>
        <v>0</v>
      </c>
      <c r="Q58" s="6">
        <f t="shared" si="2"/>
        <v>0.41666666666666669</v>
      </c>
      <c r="R58" s="6">
        <f t="shared" si="3"/>
        <v>0</v>
      </c>
      <c r="S58" s="6">
        <f t="shared" si="4"/>
        <v>0</v>
      </c>
      <c r="T58" s="6">
        <f t="shared" si="5"/>
        <v>0</v>
      </c>
      <c r="V58" s="6">
        <v>0.41666666666666669</v>
      </c>
      <c r="W58" s="6">
        <v>0.5</v>
      </c>
      <c r="X58" s="6">
        <f t="shared" si="6"/>
        <v>8.3333333333333315E-2</v>
      </c>
      <c r="AC58" s="6"/>
    </row>
    <row r="59" spans="1:29">
      <c r="A59" s="5" t="s">
        <v>195</v>
      </c>
      <c r="B59" s="1">
        <v>6</v>
      </c>
      <c r="C59">
        <v>12</v>
      </c>
      <c r="F59">
        <v>5.8</v>
      </c>
      <c r="G59">
        <v>12</v>
      </c>
      <c r="H59">
        <v>4.7</v>
      </c>
      <c r="I59">
        <v>12</v>
      </c>
      <c r="O59" s="6">
        <f t="shared" si="0"/>
        <v>0.5</v>
      </c>
      <c r="P59" s="6">
        <f t="shared" si="1"/>
        <v>0</v>
      </c>
      <c r="Q59" s="6">
        <f t="shared" si="2"/>
        <v>0.48333333333333334</v>
      </c>
      <c r="R59" s="6">
        <f t="shared" si="3"/>
        <v>0.39166666666666666</v>
      </c>
      <c r="S59" s="6">
        <f t="shared" si="4"/>
        <v>0</v>
      </c>
      <c r="T59" s="6">
        <f t="shared" si="5"/>
        <v>0</v>
      </c>
      <c r="V59" s="6">
        <v>0.39166666666666666</v>
      </c>
      <c r="W59" s="6">
        <v>0.5</v>
      </c>
      <c r="X59" s="6">
        <f t="shared" si="6"/>
        <v>0.10833333333333334</v>
      </c>
      <c r="AC59" s="6"/>
    </row>
    <row r="60" spans="1:29">
      <c r="A60" s="5" t="s">
        <v>57</v>
      </c>
      <c r="B60" s="1"/>
      <c r="F60">
        <v>7.5</v>
      </c>
      <c r="G60">
        <v>16</v>
      </c>
      <c r="O60" s="6">
        <f t="shared" si="0"/>
        <v>0</v>
      </c>
      <c r="P60" s="6">
        <f t="shared" si="1"/>
        <v>0</v>
      </c>
      <c r="Q60" s="6">
        <f t="shared" si="2"/>
        <v>0.46875</v>
      </c>
      <c r="R60" s="6">
        <f t="shared" si="3"/>
        <v>0</v>
      </c>
      <c r="S60" s="6">
        <f t="shared" si="4"/>
        <v>0</v>
      </c>
      <c r="T60" s="6">
        <f t="shared" si="5"/>
        <v>0</v>
      </c>
      <c r="V60" s="6">
        <v>0.46875</v>
      </c>
      <c r="W60" s="6">
        <v>0.46875</v>
      </c>
      <c r="X60" s="6">
        <f t="shared" si="6"/>
        <v>0</v>
      </c>
      <c r="AC60" s="6"/>
    </row>
    <row r="61" spans="1:29">
      <c r="A61" s="5" t="s">
        <v>58</v>
      </c>
      <c r="B61" s="1"/>
      <c r="F61">
        <v>6</v>
      </c>
      <c r="G61">
        <v>16</v>
      </c>
      <c r="O61" s="6">
        <f t="shared" si="0"/>
        <v>0</v>
      </c>
      <c r="P61" s="6">
        <f t="shared" si="1"/>
        <v>0</v>
      </c>
      <c r="Q61" s="6">
        <f t="shared" si="2"/>
        <v>0.375</v>
      </c>
      <c r="R61" s="6">
        <f t="shared" si="3"/>
        <v>0</v>
      </c>
      <c r="S61" s="6">
        <f t="shared" si="4"/>
        <v>0</v>
      </c>
      <c r="T61" s="6">
        <f t="shared" si="5"/>
        <v>0</v>
      </c>
      <c r="V61" s="6">
        <v>0.375</v>
      </c>
      <c r="W61" s="6">
        <v>0.375</v>
      </c>
      <c r="X61" s="6">
        <f t="shared" si="6"/>
        <v>0</v>
      </c>
      <c r="AC61" s="6"/>
    </row>
    <row r="62" spans="1:29">
      <c r="A62" s="5" t="s">
        <v>59</v>
      </c>
      <c r="B62" s="1"/>
      <c r="F62">
        <v>5</v>
      </c>
      <c r="G62">
        <v>3.5</v>
      </c>
      <c r="O62" s="6">
        <f t="shared" si="0"/>
        <v>0</v>
      </c>
      <c r="P62" s="6">
        <f t="shared" si="1"/>
        <v>0</v>
      </c>
      <c r="Q62" s="6">
        <f t="shared" si="2"/>
        <v>1.4285714285714286</v>
      </c>
      <c r="R62" s="6">
        <f t="shared" si="3"/>
        <v>0</v>
      </c>
      <c r="S62" s="6">
        <f t="shared" si="4"/>
        <v>0</v>
      </c>
      <c r="T62" s="6">
        <f t="shared" si="5"/>
        <v>0</v>
      </c>
      <c r="V62" s="6">
        <v>1.4285714285714286</v>
      </c>
      <c r="W62" s="6">
        <v>1.4285714285714286</v>
      </c>
      <c r="X62" s="6">
        <f t="shared" si="6"/>
        <v>0</v>
      </c>
      <c r="AC62" s="6"/>
    </row>
    <row r="63" spans="1:29">
      <c r="A63" s="5" t="s">
        <v>196</v>
      </c>
      <c r="B63" s="1"/>
      <c r="D63">
        <v>18.5</v>
      </c>
      <c r="E63">
        <v>16</v>
      </c>
      <c r="F63">
        <v>6</v>
      </c>
      <c r="G63">
        <v>4.5</v>
      </c>
      <c r="H63">
        <v>5.7</v>
      </c>
      <c r="I63">
        <v>4.8</v>
      </c>
      <c r="J63">
        <v>9.9</v>
      </c>
      <c r="K63">
        <v>16</v>
      </c>
      <c r="O63" s="6">
        <f t="shared" si="0"/>
        <v>0</v>
      </c>
      <c r="P63" s="6">
        <f t="shared" si="1"/>
        <v>1.15625</v>
      </c>
      <c r="Q63" s="6">
        <f t="shared" si="2"/>
        <v>1.3333333333333333</v>
      </c>
      <c r="R63" s="6">
        <f t="shared" si="3"/>
        <v>1.1875</v>
      </c>
      <c r="S63" s="6">
        <f t="shared" si="4"/>
        <v>0.61875000000000002</v>
      </c>
      <c r="T63" s="6">
        <f t="shared" si="5"/>
        <v>0</v>
      </c>
      <c r="V63" s="6">
        <v>0.61875000000000002</v>
      </c>
      <c r="W63" s="6">
        <v>1.3333333333333333</v>
      </c>
      <c r="X63" s="6">
        <f t="shared" si="6"/>
        <v>0.71458333333333324</v>
      </c>
      <c r="AC63" s="6"/>
    </row>
    <row r="64" spans="1:29">
      <c r="A64" s="5" t="s">
        <v>197</v>
      </c>
      <c r="B64" s="1"/>
      <c r="J64">
        <v>1.4</v>
      </c>
      <c r="K64">
        <v>16</v>
      </c>
      <c r="O64" s="6">
        <f t="shared" si="0"/>
        <v>0</v>
      </c>
      <c r="P64" s="6">
        <f t="shared" si="1"/>
        <v>0</v>
      </c>
      <c r="Q64" s="6">
        <f t="shared" si="2"/>
        <v>0</v>
      </c>
      <c r="R64" s="6">
        <f t="shared" si="3"/>
        <v>0</v>
      </c>
      <c r="S64" s="6">
        <f t="shared" si="4"/>
        <v>8.7499999999999994E-2</v>
      </c>
      <c r="T64" s="6">
        <f t="shared" si="5"/>
        <v>0</v>
      </c>
      <c r="V64" s="6">
        <v>8.7499999999999994E-2</v>
      </c>
      <c r="W64" s="6">
        <v>8.7499999999999994E-2</v>
      </c>
      <c r="X64" s="6">
        <f t="shared" si="6"/>
        <v>0</v>
      </c>
      <c r="AC64" s="6"/>
    </row>
    <row r="65" spans="1:29">
      <c r="A65" s="5" t="s">
        <v>198</v>
      </c>
      <c r="B65" s="1"/>
      <c r="J65">
        <v>0.48</v>
      </c>
      <c r="K65">
        <v>16</v>
      </c>
      <c r="O65" s="6">
        <f t="shared" si="0"/>
        <v>0</v>
      </c>
      <c r="P65" s="6">
        <f t="shared" si="1"/>
        <v>0</v>
      </c>
      <c r="Q65" s="6">
        <f t="shared" si="2"/>
        <v>0</v>
      </c>
      <c r="R65" s="6">
        <f t="shared" si="3"/>
        <v>0</v>
      </c>
      <c r="S65" s="6">
        <f t="shared" si="4"/>
        <v>0.03</v>
      </c>
      <c r="T65" s="6">
        <f t="shared" si="5"/>
        <v>0</v>
      </c>
      <c r="V65" s="6">
        <v>0.03</v>
      </c>
      <c r="W65" s="6">
        <v>0.03</v>
      </c>
      <c r="X65" s="6">
        <f t="shared" si="6"/>
        <v>0</v>
      </c>
      <c r="AC65" s="6"/>
    </row>
    <row r="66" spans="1:29">
      <c r="A66" s="5" t="s">
        <v>199</v>
      </c>
      <c r="B66" s="1"/>
      <c r="J66">
        <v>0.57999999999999996</v>
      </c>
      <c r="K66">
        <v>16</v>
      </c>
      <c r="O66" s="6">
        <f t="shared" si="0"/>
        <v>0</v>
      </c>
      <c r="P66" s="6">
        <f t="shared" si="1"/>
        <v>0</v>
      </c>
      <c r="Q66" s="6">
        <f t="shared" si="2"/>
        <v>0</v>
      </c>
      <c r="R66" s="6">
        <f t="shared" si="3"/>
        <v>0</v>
      </c>
      <c r="S66" s="6">
        <f t="shared" si="4"/>
        <v>3.6249999999999998E-2</v>
      </c>
      <c r="T66" s="6">
        <f t="shared" si="5"/>
        <v>0</v>
      </c>
      <c r="V66" s="6">
        <v>3.6249999999999998E-2</v>
      </c>
      <c r="W66" s="6">
        <v>3.6249999999999998E-2</v>
      </c>
      <c r="X66" s="6">
        <f t="shared" si="6"/>
        <v>0</v>
      </c>
      <c r="AC66" s="6"/>
    </row>
    <row r="67" spans="1:29">
      <c r="A67" s="5" t="s">
        <v>200</v>
      </c>
      <c r="B67" s="1"/>
      <c r="J67">
        <v>2.48</v>
      </c>
      <c r="K67">
        <v>16</v>
      </c>
      <c r="O67" s="6">
        <f t="shared" ref="O67" si="7" xml:space="preserve"> IF(ISBLANK(C67), 0, (B67/C67))</f>
        <v>0</v>
      </c>
      <c r="P67" s="6">
        <f t="shared" ref="P67" si="8" xml:space="preserve"> IF(ISBLANK(E67 ), 0, D67 /E67 )</f>
        <v>0</v>
      </c>
      <c r="Q67" s="6">
        <f t="shared" ref="Q67" si="9" xml:space="preserve"> IF(ISBLANK(G67 ), 0, F67 /G67 )</f>
        <v>0</v>
      </c>
      <c r="R67" s="6">
        <f t="shared" ref="R67" si="10" xml:space="preserve"> IF(ISBLANK(I67 ), 0, H67 /I67)</f>
        <v>0</v>
      </c>
      <c r="S67" s="6">
        <f t="shared" ref="S67" si="11" xml:space="preserve"> IF(ISBLANK(K67 ), 0, J67 /K67 )</f>
        <v>0.155</v>
      </c>
      <c r="T67" s="6">
        <f t="shared" ref="T67" si="12" xml:space="preserve"> IF(ISBLANK(M67 ), 0, L67 /M67 )</f>
        <v>0</v>
      </c>
      <c r="V67" s="6">
        <v>0.155</v>
      </c>
      <c r="W67" s="6">
        <v>0.155</v>
      </c>
      <c r="X67" s="6">
        <f t="shared" ref="X67" si="13">$W67-$V67</f>
        <v>0</v>
      </c>
      <c r="AC67" s="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A930A-8FCF-4F81-9494-DE8F143E5FBE}">
  <dimension ref="A1"/>
  <sheetViews>
    <sheetView workbookViewId="0"/>
  </sheetViews>
  <sheetFormatPr defaultRowHeight="15"/>
  <sheetData>
    <row r="1" spans="1:1">
      <c r="A1" s="9" t="s">
        <v>214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85028-6F19-4106-8CCB-2D36067CD899}">
  <dimension ref="A1:W78"/>
  <sheetViews>
    <sheetView workbookViewId="0">
      <selection activeCell="B2" sqref="B2"/>
    </sheetView>
  </sheetViews>
  <sheetFormatPr defaultRowHeight="15"/>
  <cols>
    <col min="1" max="1" width="28.7109375" bestFit="1" customWidth="1"/>
    <col min="2" max="2" width="20.28515625" style="1" customWidth="1"/>
    <col min="3" max="3" width="12.5703125" style="1" bestFit="1" customWidth="1"/>
    <col min="4" max="4" width="9.140625" style="1"/>
    <col min="5" max="5" width="20.28515625" style="1" bestFit="1" customWidth="1"/>
    <col min="6" max="6" width="19" style="1" bestFit="1" customWidth="1"/>
    <col min="7" max="7" width="15.7109375" style="1" bestFit="1" customWidth="1"/>
    <col min="8" max="8" width="12.7109375" style="1" bestFit="1" customWidth="1"/>
    <col min="9" max="9" width="19.42578125" style="1" bestFit="1" customWidth="1"/>
    <col min="10" max="10" width="12" style="1" bestFit="1" customWidth="1"/>
    <col min="11" max="11" width="11.85546875" style="1" bestFit="1" customWidth="1"/>
    <col min="12" max="12" width="13.140625" style="1" bestFit="1" customWidth="1"/>
    <col min="13" max="13" width="7.28515625" style="1" bestFit="1" customWidth="1"/>
    <col min="14" max="14" width="15.7109375" style="1" bestFit="1" customWidth="1"/>
    <col min="15" max="15" width="13.42578125" style="1" bestFit="1" customWidth="1"/>
    <col min="16" max="16" width="9.140625" style="1"/>
    <col min="17" max="17" width="15.140625" style="1" bestFit="1" customWidth="1"/>
    <col min="18" max="18" width="13.42578125" style="1" bestFit="1" customWidth="1"/>
    <col min="19" max="19" width="6.85546875" style="1" bestFit="1" customWidth="1"/>
    <col min="20" max="20" width="12" style="1" bestFit="1" customWidth="1"/>
    <col min="21" max="21" width="16.42578125" style="1" bestFit="1" customWidth="1"/>
    <col min="22" max="22" width="16.7109375" style="1" bestFit="1" customWidth="1"/>
    <col min="23" max="23" width="9.140625" style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210</v>
      </c>
      <c r="B2" s="1" cm="1">
        <f t="array" ref="B2:W78">MMULT(RecXIngred!B2:BK78, IngredXNut!B2:W63)</f>
        <v>175</v>
      </c>
      <c r="C2" s="1">
        <v>33.205128216666665</v>
      </c>
      <c r="D2" s="1">
        <v>14.891941385666668</v>
      </c>
      <c r="E2" s="1">
        <v>0</v>
      </c>
      <c r="F2" s="1">
        <v>4.4999999899999992</v>
      </c>
      <c r="G2" s="1">
        <v>9.7142857070000002</v>
      </c>
      <c r="H2" s="1">
        <v>0</v>
      </c>
      <c r="I2" s="1">
        <v>518.15438035124998</v>
      </c>
      <c r="J2" s="1">
        <v>41.30555556558334</v>
      </c>
      <c r="K2" s="1">
        <v>11.097222212249999</v>
      </c>
      <c r="L2" s="1">
        <v>18.125</v>
      </c>
      <c r="M2" s="1">
        <v>18</v>
      </c>
      <c r="N2" s="1">
        <v>26.076923069999999</v>
      </c>
      <c r="O2" s="1">
        <v>0</v>
      </c>
      <c r="P2" s="1">
        <v>55.434615379999997</v>
      </c>
      <c r="Q2" s="1">
        <v>9.5823397366666665</v>
      </c>
      <c r="R2" s="1">
        <v>28.894230749999998</v>
      </c>
      <c r="S2" s="1">
        <v>0.20000001000000001</v>
      </c>
      <c r="T2" s="1">
        <v>1.7999999999999998</v>
      </c>
      <c r="U2" s="1">
        <v>90</v>
      </c>
      <c r="V2" s="1">
        <v>0</v>
      </c>
      <c r="W2" s="1">
        <v>0</v>
      </c>
    </row>
    <row r="3" spans="1:23">
      <c r="A3" t="s">
        <v>208</v>
      </c>
      <c r="B3" s="1">
        <v>275</v>
      </c>
      <c r="C3" s="1">
        <v>64.961538474999998</v>
      </c>
      <c r="D3" s="1">
        <v>10.399725262</v>
      </c>
      <c r="E3" s="1">
        <v>0</v>
      </c>
      <c r="F3" s="1">
        <v>5.1428571359999999</v>
      </c>
      <c r="G3" s="1">
        <v>13.714285704</v>
      </c>
      <c r="H3" s="1">
        <v>0</v>
      </c>
      <c r="I3" s="1">
        <v>1055.2428418832501</v>
      </c>
      <c r="J3" s="1">
        <v>82.713888908499996</v>
      </c>
      <c r="K3" s="1">
        <v>23.13888887725</v>
      </c>
      <c r="L3" s="1">
        <v>36.450000008000004</v>
      </c>
      <c r="M3" s="1">
        <v>29.450000008</v>
      </c>
      <c r="N3" s="1">
        <v>70.423076914999996</v>
      </c>
      <c r="O3" s="1">
        <v>0</v>
      </c>
      <c r="P3" s="1">
        <v>180.86538460200001</v>
      </c>
      <c r="Q3" s="1">
        <v>14.173076914999999</v>
      </c>
      <c r="R3" s="1">
        <v>991.22243587499997</v>
      </c>
      <c r="S3" s="1">
        <v>0.233333345</v>
      </c>
      <c r="T3" s="1">
        <v>2.1</v>
      </c>
      <c r="U3" s="1">
        <v>105</v>
      </c>
      <c r="V3" s="1">
        <v>0</v>
      </c>
      <c r="W3" s="1">
        <v>0</v>
      </c>
    </row>
    <row r="4" spans="1:23">
      <c r="A4" t="s">
        <v>209</v>
      </c>
      <c r="B4" s="1">
        <v>199</v>
      </c>
      <c r="C4" s="1">
        <v>30</v>
      </c>
      <c r="D4" s="1">
        <v>16.071428579999999</v>
      </c>
      <c r="E4" s="1">
        <v>0</v>
      </c>
      <c r="F4" s="1">
        <v>4.2857142750000001</v>
      </c>
      <c r="G4" s="1">
        <v>8.5714285649999997</v>
      </c>
      <c r="H4" s="1">
        <v>0</v>
      </c>
      <c r="I4" s="1">
        <v>305.72361110324999</v>
      </c>
      <c r="J4" s="1">
        <v>93.005555593499992</v>
      </c>
      <c r="K4" s="1">
        <v>13.097222192250001</v>
      </c>
      <c r="L4" s="1">
        <v>23.325000008</v>
      </c>
      <c r="M4" s="1">
        <v>23.200000008</v>
      </c>
      <c r="N4" s="1">
        <v>9</v>
      </c>
      <c r="O4" s="1">
        <v>0</v>
      </c>
      <c r="P4" s="1">
        <v>19.999999991999999</v>
      </c>
      <c r="Q4" s="1">
        <v>4.5</v>
      </c>
      <c r="R4" s="1">
        <v>20.299999970000002</v>
      </c>
      <c r="S4" s="1">
        <v>0.60000003000000002</v>
      </c>
      <c r="T4" s="1">
        <v>5.3999999999999995</v>
      </c>
      <c r="U4" s="1">
        <v>270</v>
      </c>
      <c r="V4" s="1">
        <v>0</v>
      </c>
      <c r="W4" s="1">
        <v>0</v>
      </c>
    </row>
    <row r="5" spans="1:23">
      <c r="A5" t="s">
        <v>158</v>
      </c>
      <c r="B5" s="1">
        <v>270</v>
      </c>
      <c r="C5" s="1">
        <v>75.057692325000005</v>
      </c>
      <c r="D5" s="1">
        <v>23.025412074000002</v>
      </c>
      <c r="E5" s="1">
        <v>0</v>
      </c>
      <c r="F5" s="1">
        <v>3.4285714199999999</v>
      </c>
      <c r="G5" s="1">
        <v>6.857142852</v>
      </c>
      <c r="H5" s="1">
        <v>0</v>
      </c>
      <c r="I5" s="1">
        <v>923.08226497124997</v>
      </c>
      <c r="J5" s="1">
        <v>73.493055565500001</v>
      </c>
      <c r="K5" s="1">
        <v>19.534722212249999</v>
      </c>
      <c r="L5" s="1">
        <v>35.75</v>
      </c>
      <c r="M5" s="1">
        <v>30</v>
      </c>
      <c r="N5" s="1">
        <v>60.115384605000003</v>
      </c>
      <c r="O5" s="1">
        <v>0</v>
      </c>
      <c r="P5" s="1">
        <v>133.70192306999999</v>
      </c>
      <c r="Q5" s="1">
        <v>16.427884604999999</v>
      </c>
      <c r="R5" s="1">
        <v>594.06634613000006</v>
      </c>
      <c r="S5" s="1">
        <v>0.20000001000000001</v>
      </c>
      <c r="T5" s="1">
        <v>1.7999999999999998</v>
      </c>
      <c r="U5" s="1">
        <v>90</v>
      </c>
      <c r="V5" s="1">
        <v>0</v>
      </c>
      <c r="W5" s="1">
        <v>0</v>
      </c>
    </row>
    <row r="6" spans="1:23">
      <c r="A6" t="s">
        <v>157</v>
      </c>
      <c r="B6" s="1">
        <v>270</v>
      </c>
      <c r="C6" s="1">
        <v>69</v>
      </c>
      <c r="D6" s="1">
        <v>21.294642864</v>
      </c>
      <c r="E6" s="1">
        <v>0</v>
      </c>
      <c r="F6" s="1">
        <v>3.4285714199999999</v>
      </c>
      <c r="G6" s="1">
        <v>6.857142852</v>
      </c>
      <c r="H6" s="1">
        <v>0</v>
      </c>
      <c r="I6" s="1">
        <v>924.23611109624994</v>
      </c>
      <c r="J6" s="1">
        <v>73.493055565500001</v>
      </c>
      <c r="K6" s="1">
        <v>19.534722212249999</v>
      </c>
      <c r="L6" s="1">
        <v>35.75</v>
      </c>
      <c r="M6" s="1">
        <v>30</v>
      </c>
      <c r="N6" s="1">
        <v>66</v>
      </c>
      <c r="O6" s="1">
        <v>0</v>
      </c>
      <c r="P6" s="1">
        <v>50.625</v>
      </c>
      <c r="Q6" s="1">
        <v>7.7625000149999996</v>
      </c>
      <c r="R6" s="1">
        <v>622.91249997499995</v>
      </c>
      <c r="S6" s="1">
        <v>0.20000001000000001</v>
      </c>
      <c r="T6" s="1">
        <v>1.7999999999999998</v>
      </c>
      <c r="U6" s="1">
        <v>90</v>
      </c>
      <c r="V6" s="1">
        <v>0</v>
      </c>
      <c r="W6" s="1">
        <v>0</v>
      </c>
    </row>
    <row r="7" spans="1:23">
      <c r="A7" t="s">
        <v>156</v>
      </c>
      <c r="B7" s="1">
        <v>270</v>
      </c>
      <c r="C7" s="1">
        <v>69</v>
      </c>
      <c r="D7" s="1">
        <v>21.294642864</v>
      </c>
      <c r="E7" s="1">
        <v>0</v>
      </c>
      <c r="F7" s="1">
        <v>3.4285714199999999</v>
      </c>
      <c r="G7" s="1">
        <v>6.857142852</v>
      </c>
      <c r="H7" s="1">
        <v>0</v>
      </c>
      <c r="I7" s="1">
        <v>594.23611111125001</v>
      </c>
      <c r="J7" s="1">
        <v>73.493055565500001</v>
      </c>
      <c r="K7" s="1">
        <v>19.534722212249999</v>
      </c>
      <c r="L7" s="1">
        <v>35.75</v>
      </c>
      <c r="M7" s="1">
        <v>30</v>
      </c>
      <c r="N7" s="1">
        <v>61.5</v>
      </c>
      <c r="O7" s="1">
        <v>0</v>
      </c>
      <c r="P7" s="1">
        <v>68.625</v>
      </c>
      <c r="Q7" s="1">
        <v>7.0124999999999993</v>
      </c>
      <c r="R7" s="1">
        <v>585.41249999000001</v>
      </c>
      <c r="S7" s="1">
        <v>0.20000001000000001</v>
      </c>
      <c r="T7" s="1">
        <v>1.7999999999999998</v>
      </c>
      <c r="U7" s="1">
        <v>90</v>
      </c>
      <c r="V7" s="1">
        <v>0</v>
      </c>
      <c r="W7" s="1">
        <v>0</v>
      </c>
    </row>
    <row r="8" spans="1:23">
      <c r="A8" t="s">
        <v>155</v>
      </c>
      <c r="B8" s="1">
        <v>217.125</v>
      </c>
      <c r="C8" s="1">
        <v>36</v>
      </c>
      <c r="D8" s="1">
        <v>6.75</v>
      </c>
      <c r="E8" s="1">
        <v>0</v>
      </c>
      <c r="F8" s="1">
        <v>0</v>
      </c>
      <c r="G8" s="1">
        <v>0</v>
      </c>
      <c r="H8" s="1">
        <v>0</v>
      </c>
      <c r="I8" s="1">
        <v>538.78472222250002</v>
      </c>
      <c r="J8" s="1">
        <v>63.186111121750002</v>
      </c>
      <c r="K8" s="1">
        <v>18.011111100499999</v>
      </c>
      <c r="L8" s="1">
        <v>26.625</v>
      </c>
      <c r="M8" s="1">
        <v>22</v>
      </c>
      <c r="N8" s="1">
        <v>57.2</v>
      </c>
      <c r="O8" s="1">
        <v>0</v>
      </c>
      <c r="P8" s="1">
        <v>58.5</v>
      </c>
      <c r="Q8" s="1">
        <v>6.55</v>
      </c>
      <c r="R8" s="1">
        <v>472.35666665600002</v>
      </c>
      <c r="S8" s="1">
        <v>0.21333334400000001</v>
      </c>
      <c r="T8" s="1">
        <v>1.92</v>
      </c>
      <c r="U8" s="1">
        <v>96</v>
      </c>
      <c r="V8" s="1">
        <v>0</v>
      </c>
      <c r="W8" s="1">
        <v>0</v>
      </c>
    </row>
    <row r="9" spans="1:23">
      <c r="A9" t="s">
        <v>154</v>
      </c>
      <c r="B9" s="1">
        <v>155.375</v>
      </c>
      <c r="C9" s="1">
        <v>38.230769240000001</v>
      </c>
      <c r="D9" s="1">
        <v>25.565934067000001</v>
      </c>
      <c r="E9" s="1">
        <v>0</v>
      </c>
      <c r="F9" s="1">
        <v>3.9285714149999995</v>
      </c>
      <c r="G9" s="1">
        <v>5.7142857100000004</v>
      </c>
      <c r="H9" s="1">
        <v>0</v>
      </c>
      <c r="I9" s="1">
        <v>477.91933761450002</v>
      </c>
      <c r="J9" s="1">
        <v>35.652777784500003</v>
      </c>
      <c r="K9" s="1">
        <v>6.8611111044999999</v>
      </c>
      <c r="L9" s="1">
        <v>20.125</v>
      </c>
      <c r="M9" s="1">
        <v>20</v>
      </c>
      <c r="N9" s="1">
        <v>33.261538455999997</v>
      </c>
      <c r="O9" s="1">
        <v>0</v>
      </c>
      <c r="P9" s="1">
        <v>50.707692303999998</v>
      </c>
      <c r="Q9" s="1">
        <v>8.4215384560000004</v>
      </c>
      <c r="R9" s="1">
        <v>16.682051268000002</v>
      </c>
      <c r="S9" s="1">
        <v>0.13333333999999999</v>
      </c>
      <c r="T9" s="1">
        <v>1.2</v>
      </c>
      <c r="U9" s="1">
        <v>60</v>
      </c>
      <c r="V9" s="1">
        <v>0</v>
      </c>
      <c r="W9" s="1">
        <v>0</v>
      </c>
    </row>
    <row r="10" spans="1:23">
      <c r="A10" t="s">
        <v>153</v>
      </c>
      <c r="B10" s="1">
        <v>310.125</v>
      </c>
      <c r="C10" s="1">
        <v>80.104166666624991</v>
      </c>
      <c r="D10" s="1">
        <v>50.360714310000006</v>
      </c>
      <c r="E10" s="1">
        <v>0</v>
      </c>
      <c r="F10" s="1">
        <v>7.857142829999999</v>
      </c>
      <c r="G10" s="1">
        <v>11.428571420000001</v>
      </c>
      <c r="H10" s="1">
        <v>0</v>
      </c>
      <c r="I10" s="1">
        <v>597.88888888912504</v>
      </c>
      <c r="J10" s="1">
        <v>53.756944452874997</v>
      </c>
      <c r="K10" s="1">
        <v>3.0902777695000001</v>
      </c>
      <c r="L10" s="1">
        <v>30.999999993374999</v>
      </c>
      <c r="M10" s="1">
        <v>30</v>
      </c>
      <c r="N10" s="1">
        <v>67.183333326625004</v>
      </c>
      <c r="O10" s="1">
        <v>0</v>
      </c>
      <c r="P10" s="1">
        <v>70.416666666625005</v>
      </c>
      <c r="Q10" s="1">
        <v>6.42416666</v>
      </c>
      <c r="R10" s="1">
        <v>133.41666666500001</v>
      </c>
      <c r="S10" s="1">
        <v>0.16666667500000001</v>
      </c>
      <c r="T10" s="1">
        <v>1.5</v>
      </c>
      <c r="U10" s="1">
        <v>75</v>
      </c>
      <c r="V10" s="1">
        <v>0</v>
      </c>
      <c r="W10" s="1">
        <v>0.52500000000000002</v>
      </c>
    </row>
    <row r="11" spans="1:23">
      <c r="A11" t="s">
        <v>152</v>
      </c>
      <c r="B11" s="1">
        <v>327</v>
      </c>
      <c r="C11" s="1">
        <v>89.711538474999998</v>
      </c>
      <c r="D11" s="1">
        <v>44.274725279999998</v>
      </c>
      <c r="E11" s="1">
        <v>0</v>
      </c>
      <c r="F11" s="1">
        <v>9.2857142599999989</v>
      </c>
      <c r="G11" s="1">
        <v>17.142857129999999</v>
      </c>
      <c r="H11" s="1">
        <v>0</v>
      </c>
      <c r="I11" s="1">
        <v>853.61645300250007</v>
      </c>
      <c r="J11" s="1">
        <v>45.777777784500003</v>
      </c>
      <c r="K11" s="1">
        <v>13.861111104500001</v>
      </c>
      <c r="L11" s="1">
        <v>25.249999989999999</v>
      </c>
      <c r="M11" s="1">
        <v>24</v>
      </c>
      <c r="N11" s="1">
        <v>63.923076905000002</v>
      </c>
      <c r="O11" s="1">
        <v>0</v>
      </c>
      <c r="P11" s="1">
        <v>138.61538461000001</v>
      </c>
      <c r="Q11" s="1">
        <v>13.523076904999998</v>
      </c>
      <c r="R11" s="1">
        <v>226.79743589000003</v>
      </c>
      <c r="S11" s="1">
        <v>0.13333333999999999</v>
      </c>
      <c r="T11" s="1">
        <v>1.2</v>
      </c>
      <c r="U11" s="1">
        <v>60</v>
      </c>
      <c r="V11" s="1">
        <v>0</v>
      </c>
      <c r="W11" s="1">
        <v>0</v>
      </c>
    </row>
    <row r="12" spans="1:23">
      <c r="A12" t="s">
        <v>151</v>
      </c>
      <c r="B12" s="1">
        <v>324.875</v>
      </c>
      <c r="C12" s="1">
        <v>84.841069961624996</v>
      </c>
      <c r="D12" s="1">
        <v>59.344657150000003</v>
      </c>
      <c r="E12" s="1">
        <v>0</v>
      </c>
      <c r="F12" s="1">
        <v>3.15</v>
      </c>
      <c r="G12" s="1">
        <v>5.95</v>
      </c>
      <c r="H12" s="1">
        <v>0</v>
      </c>
      <c r="I12" s="1">
        <v>1197.0608974466249</v>
      </c>
      <c r="J12" s="1">
        <v>53.437009793374997</v>
      </c>
      <c r="K12" s="1">
        <v>3.44485295</v>
      </c>
      <c r="L12" s="1">
        <v>25.291666658375</v>
      </c>
      <c r="M12" s="1">
        <v>24</v>
      </c>
      <c r="N12" s="1">
        <v>67.420135726624991</v>
      </c>
      <c r="O12" s="1">
        <v>0</v>
      </c>
      <c r="P12" s="1">
        <v>136.32616891662499</v>
      </c>
      <c r="Q12" s="1">
        <v>14.42861611</v>
      </c>
      <c r="R12" s="1">
        <v>224.57390648500004</v>
      </c>
      <c r="S12" s="1">
        <v>0.17647058999999998</v>
      </c>
      <c r="T12" s="1">
        <v>0.88235295000000002</v>
      </c>
      <c r="U12" s="1">
        <v>112.05882354000001</v>
      </c>
      <c r="V12" s="1">
        <v>0</v>
      </c>
      <c r="W12" s="1">
        <v>0.52500000000000002</v>
      </c>
    </row>
    <row r="13" spans="1:23">
      <c r="A13" t="s">
        <v>150</v>
      </c>
      <c r="B13" s="1">
        <v>309.875</v>
      </c>
      <c r="C13" s="1">
        <v>64.103768331625005</v>
      </c>
      <c r="D13" s="1">
        <v>50.383057770000001</v>
      </c>
      <c r="E13" s="1">
        <v>0</v>
      </c>
      <c r="F13" s="1">
        <v>2.6999999999999997</v>
      </c>
      <c r="G13" s="1">
        <v>5.1000000000000005</v>
      </c>
      <c r="H13" s="1">
        <v>0</v>
      </c>
      <c r="I13" s="1">
        <v>1720.137820511625</v>
      </c>
      <c r="J13" s="1">
        <v>36.887009793375</v>
      </c>
      <c r="K13" s="1">
        <v>10.94485295</v>
      </c>
      <c r="L13" s="1">
        <v>12.583333333375</v>
      </c>
      <c r="M13" s="1">
        <v>12</v>
      </c>
      <c r="N13" s="1">
        <v>77.779110091625</v>
      </c>
      <c r="O13" s="1">
        <v>0</v>
      </c>
      <c r="P13" s="1">
        <v>88.787707376624994</v>
      </c>
      <c r="Q13" s="1">
        <v>17.33759049</v>
      </c>
      <c r="R13" s="1">
        <v>117.33031671500001</v>
      </c>
      <c r="S13" s="1">
        <v>0.17647058999999998</v>
      </c>
      <c r="T13" s="1">
        <v>0.88235295000000002</v>
      </c>
      <c r="U13" s="1">
        <v>112.05882354000001</v>
      </c>
      <c r="V13" s="1">
        <v>0</v>
      </c>
      <c r="W13" s="1">
        <v>0.52500000000000002</v>
      </c>
    </row>
    <row r="14" spans="1:23">
      <c r="A14" t="s">
        <v>149</v>
      </c>
      <c r="B14" s="1">
        <v>285.25</v>
      </c>
      <c r="C14" s="1">
        <v>70.228665853249993</v>
      </c>
      <c r="D14" s="1">
        <v>31.726281610000001</v>
      </c>
      <c r="E14" s="1">
        <v>0</v>
      </c>
      <c r="F14" s="1">
        <v>7.7785714199999996</v>
      </c>
      <c r="G14" s="1">
        <v>19.69285713</v>
      </c>
      <c r="H14" s="1">
        <v>0</v>
      </c>
      <c r="I14" s="1">
        <v>1653.1709401957498</v>
      </c>
      <c r="J14" s="1">
        <v>68.895179724499997</v>
      </c>
      <c r="K14" s="1">
        <v>1.500081711125</v>
      </c>
      <c r="L14" s="1">
        <v>36.583333333375002</v>
      </c>
      <c r="M14" s="1">
        <v>36</v>
      </c>
      <c r="N14" s="1">
        <v>65.109539946625006</v>
      </c>
      <c r="O14" s="1">
        <v>0</v>
      </c>
      <c r="P14" s="1">
        <v>156.0011312</v>
      </c>
      <c r="Q14" s="1">
        <v>23.92890268</v>
      </c>
      <c r="R14" s="1">
        <v>83.619909480000004</v>
      </c>
      <c r="S14" s="1">
        <v>0.23529412</v>
      </c>
      <c r="T14" s="1">
        <v>1.1764706</v>
      </c>
      <c r="U14" s="1">
        <v>149.41176472000001</v>
      </c>
      <c r="V14" s="1">
        <v>0</v>
      </c>
      <c r="W14" s="1">
        <v>1.05</v>
      </c>
    </row>
    <row r="15" spans="1:23">
      <c r="A15" t="s">
        <v>148</v>
      </c>
      <c r="B15" s="1">
        <v>328.3</v>
      </c>
      <c r="C15" s="1">
        <v>92.463506664950003</v>
      </c>
      <c r="D15" s="1">
        <v>46.845634229999995</v>
      </c>
      <c r="E15" s="1">
        <v>0</v>
      </c>
      <c r="F15" s="1">
        <v>9.3939560361000005</v>
      </c>
      <c r="G15" s="1">
        <v>23.181318665599999</v>
      </c>
      <c r="H15" s="1">
        <v>0</v>
      </c>
      <c r="I15" s="1">
        <v>1038.6613247857499</v>
      </c>
      <c r="J15" s="1">
        <v>39.383622421750005</v>
      </c>
      <c r="K15" s="1">
        <v>4.5817747677999998</v>
      </c>
      <c r="L15" s="1">
        <v>21.16666666175</v>
      </c>
      <c r="M15" s="1">
        <v>20</v>
      </c>
      <c r="N15" s="1">
        <v>81.104939656550016</v>
      </c>
      <c r="O15" s="1">
        <v>0</v>
      </c>
      <c r="P15" s="1">
        <v>115.17269983665</v>
      </c>
      <c r="Q15" s="1">
        <v>14.289660626099998</v>
      </c>
      <c r="R15" s="1">
        <v>238.86900451439999</v>
      </c>
      <c r="S15" s="1">
        <v>8.8235294999999991E-2</v>
      </c>
      <c r="T15" s="1">
        <v>0.44117647500000001</v>
      </c>
      <c r="U15" s="1">
        <v>56.029411770000003</v>
      </c>
      <c r="V15" s="1">
        <v>0</v>
      </c>
      <c r="W15" s="1">
        <v>1.05</v>
      </c>
    </row>
    <row r="16" spans="1:23">
      <c r="A16" t="s">
        <v>147</v>
      </c>
      <c r="B16" s="1">
        <v>307.5</v>
      </c>
      <c r="C16" s="1">
        <v>74.852466349625004</v>
      </c>
      <c r="D16" s="1">
        <v>44.771870489999998</v>
      </c>
      <c r="E16" s="1">
        <v>0</v>
      </c>
      <c r="F16" s="1">
        <v>7.0741758189999997</v>
      </c>
      <c r="G16" s="1">
        <v>17.024725264000001</v>
      </c>
      <c r="H16" s="1">
        <v>0</v>
      </c>
      <c r="I16" s="1">
        <v>1111.0747863241249</v>
      </c>
      <c r="J16" s="1">
        <v>26.240480212875003</v>
      </c>
      <c r="K16" s="1">
        <v>3.9335132665000003</v>
      </c>
      <c r="L16" s="1">
        <v>12.458333333375</v>
      </c>
      <c r="M16" s="1">
        <v>12</v>
      </c>
      <c r="N16" s="1">
        <v>90.436049253625001</v>
      </c>
      <c r="O16" s="1">
        <v>0</v>
      </c>
      <c r="P16" s="1">
        <v>96.117071522625025</v>
      </c>
      <c r="Q16" s="1">
        <v>15.147108633999999</v>
      </c>
      <c r="R16" s="1">
        <v>154.70259782599999</v>
      </c>
      <c r="S16" s="1">
        <v>0</v>
      </c>
      <c r="T16" s="1">
        <v>0</v>
      </c>
      <c r="U16" s="1">
        <v>0</v>
      </c>
      <c r="V16" s="1">
        <v>0</v>
      </c>
      <c r="W16" s="1">
        <v>0.52500000000000002</v>
      </c>
    </row>
    <row r="17" spans="1:23">
      <c r="A17" t="s">
        <v>146</v>
      </c>
      <c r="B17" s="1">
        <v>290.875</v>
      </c>
      <c r="C17" s="1">
        <v>62.837341516250007</v>
      </c>
      <c r="D17" s="1">
        <v>42.857035319999994</v>
      </c>
      <c r="E17" s="1">
        <v>0</v>
      </c>
      <c r="F17" s="1">
        <v>2.7897115389999998</v>
      </c>
      <c r="G17" s="1">
        <v>5.5978205106250005</v>
      </c>
      <c r="H17" s="1">
        <v>0</v>
      </c>
      <c r="I17" s="1">
        <v>1147.686997864125</v>
      </c>
      <c r="J17" s="1">
        <v>18.808835472875</v>
      </c>
      <c r="K17" s="1">
        <v>3.6135790614999999</v>
      </c>
      <c r="L17" s="1">
        <v>12.964583328374999</v>
      </c>
      <c r="M17" s="1">
        <v>12</v>
      </c>
      <c r="N17" s="1">
        <v>95.424615372000005</v>
      </c>
      <c r="O17" s="1">
        <v>0</v>
      </c>
      <c r="P17" s="1">
        <v>132.51121793887501</v>
      </c>
      <c r="Q17" s="1">
        <v>16.706442305625</v>
      </c>
      <c r="R17" s="1">
        <v>199.05448716224998</v>
      </c>
      <c r="S17" s="1">
        <v>4.1666662499999999E-4</v>
      </c>
      <c r="T17" s="1">
        <v>3.7499999999999999E-3</v>
      </c>
      <c r="U17" s="1">
        <v>8.2083333374999998E-2</v>
      </c>
      <c r="V17" s="1">
        <v>0.17291666662499999</v>
      </c>
      <c r="W17" s="1">
        <v>0.68375000000000008</v>
      </c>
    </row>
    <row r="18" spans="1:23">
      <c r="A18" t="s">
        <v>60</v>
      </c>
      <c r="B18" s="1">
        <v>345</v>
      </c>
      <c r="C18" s="1">
        <v>102.48414513124999</v>
      </c>
      <c r="D18" s="1">
        <v>34.160347569999999</v>
      </c>
      <c r="E18" s="1">
        <v>0</v>
      </c>
      <c r="F18" s="1">
        <v>12.603997239</v>
      </c>
      <c r="G18" s="1">
        <v>32.469249060624996</v>
      </c>
      <c r="H18" s="1">
        <v>0</v>
      </c>
      <c r="I18" s="1">
        <v>817.19340812912492</v>
      </c>
      <c r="J18" s="1">
        <v>72.208396879375002</v>
      </c>
      <c r="K18" s="1">
        <v>16.9997632665</v>
      </c>
      <c r="L18" s="1">
        <v>37.214583323375003</v>
      </c>
      <c r="M18" s="1">
        <v>36</v>
      </c>
      <c r="N18" s="1">
        <v>63.08822873199999</v>
      </c>
      <c r="O18" s="1">
        <v>0</v>
      </c>
      <c r="P18" s="1">
        <v>198.36546895887497</v>
      </c>
      <c r="Q18" s="1">
        <v>20.925538100625001</v>
      </c>
      <c r="R18" s="1">
        <v>1733.3660593872501</v>
      </c>
      <c r="S18" s="1">
        <v>4.1666662499999999E-4</v>
      </c>
      <c r="T18" s="1">
        <v>3.7499999999999999E-3</v>
      </c>
      <c r="U18" s="1">
        <v>8.2083333374999998E-2</v>
      </c>
      <c r="V18" s="1">
        <v>0.17291666662499999</v>
      </c>
      <c r="W18" s="1">
        <v>0.68375000000000008</v>
      </c>
    </row>
    <row r="19" spans="1:23">
      <c r="A19" t="s">
        <v>61</v>
      </c>
      <c r="B19" s="1">
        <v>319.25</v>
      </c>
      <c r="C19" s="1">
        <v>99.348424516250006</v>
      </c>
      <c r="D19" s="1">
        <v>47.495634229999993</v>
      </c>
      <c r="E19" s="1">
        <v>0</v>
      </c>
      <c r="F19" s="1">
        <v>9.2182829589999997</v>
      </c>
      <c r="G19" s="1">
        <v>22.740677640624998</v>
      </c>
      <c r="H19" s="1">
        <v>0</v>
      </c>
      <c r="I19" s="1">
        <v>1037.193408119125</v>
      </c>
      <c r="J19" s="1">
        <v>61.991291619375005</v>
      </c>
      <c r="K19" s="1">
        <v>8.9734474715000001</v>
      </c>
      <c r="L19" s="1">
        <v>31.339583323374999</v>
      </c>
      <c r="M19" s="1">
        <v>30</v>
      </c>
      <c r="N19" s="1">
        <v>63.456649786999989</v>
      </c>
      <c r="O19" s="1">
        <v>0</v>
      </c>
      <c r="P19" s="1">
        <v>142.68125843887498</v>
      </c>
      <c r="Q19" s="1">
        <v>12.820274945625</v>
      </c>
      <c r="R19" s="1">
        <v>406.39237517225007</v>
      </c>
      <c r="S19" s="1">
        <v>4.1666662499999999E-4</v>
      </c>
      <c r="T19" s="1">
        <v>3.7499999999999999E-3</v>
      </c>
      <c r="U19" s="1">
        <v>8.2083333374999998E-2</v>
      </c>
      <c r="V19" s="1">
        <v>0.17291666662499999</v>
      </c>
      <c r="W19" s="1">
        <v>0.68375000000000008</v>
      </c>
    </row>
    <row r="20" spans="1:23">
      <c r="A20" t="s">
        <v>62</v>
      </c>
      <c r="B20" s="1">
        <v>316</v>
      </c>
      <c r="C20" s="1">
        <v>71.977457749625003</v>
      </c>
      <c r="D20" s="1">
        <v>44.442665839999997</v>
      </c>
      <c r="E20" s="1">
        <v>0</v>
      </c>
      <c r="F20" s="1">
        <v>7.0741758189999997</v>
      </c>
      <c r="G20" s="1">
        <v>17.024725264000001</v>
      </c>
      <c r="H20" s="1">
        <v>61.016949180000005</v>
      </c>
      <c r="I20" s="1">
        <v>1066.4354990291249</v>
      </c>
      <c r="J20" s="1">
        <v>110.11704875037501</v>
      </c>
      <c r="K20" s="1">
        <v>16.059829050499999</v>
      </c>
      <c r="L20" s="1">
        <v>78.492231633374999</v>
      </c>
      <c r="M20" s="1">
        <v>76</v>
      </c>
      <c r="N20" s="1">
        <v>51.724212303624995</v>
      </c>
      <c r="O20" s="1">
        <v>0</v>
      </c>
      <c r="P20" s="1">
        <v>23.389287292624999</v>
      </c>
      <c r="Q20" s="1">
        <v>1.415961539</v>
      </c>
      <c r="R20" s="1">
        <v>629.94138853499999</v>
      </c>
      <c r="S20" s="1">
        <v>2.0000001E-2</v>
      </c>
      <c r="T20" s="1">
        <v>0.18</v>
      </c>
      <c r="U20" s="1">
        <v>9</v>
      </c>
      <c r="V20" s="1">
        <v>0</v>
      </c>
      <c r="W20" s="1">
        <v>0.52500000000000002</v>
      </c>
    </row>
    <row r="21" spans="1:23">
      <c r="A21" t="s">
        <v>63</v>
      </c>
      <c r="B21" s="1">
        <v>319.5</v>
      </c>
      <c r="C21" s="1">
        <v>86.359735909625002</v>
      </c>
      <c r="D21" s="1">
        <v>45.056073802999997</v>
      </c>
      <c r="E21" s="1">
        <v>0</v>
      </c>
      <c r="F21" s="1">
        <v>7.2884615329999995</v>
      </c>
      <c r="G21" s="1">
        <v>17.596153834999999</v>
      </c>
      <c r="H21" s="1">
        <v>0</v>
      </c>
      <c r="I21" s="1">
        <v>817.88888887912503</v>
      </c>
      <c r="J21" s="1">
        <v>75.677928599375008</v>
      </c>
      <c r="K21" s="1">
        <v>5.7921820115000004</v>
      </c>
      <c r="L21" s="1">
        <v>43.470833323374997</v>
      </c>
      <c r="M21" s="1">
        <v>42</v>
      </c>
      <c r="N21" s="1">
        <v>62.304110093624999</v>
      </c>
      <c r="O21" s="1">
        <v>0</v>
      </c>
      <c r="P21" s="1">
        <v>88.480015072625008</v>
      </c>
      <c r="Q21" s="1">
        <v>7.4106674089999993</v>
      </c>
      <c r="R21" s="1">
        <v>337.33031674599999</v>
      </c>
      <c r="S21" s="1">
        <v>0.17647058999999998</v>
      </c>
      <c r="T21" s="1">
        <v>0.88235295000000002</v>
      </c>
      <c r="U21" s="1">
        <v>112.05882354000001</v>
      </c>
      <c r="V21" s="1">
        <v>0</v>
      </c>
      <c r="W21" s="1">
        <v>0.52500000000000002</v>
      </c>
    </row>
    <row r="22" spans="1:23">
      <c r="A22" t="s">
        <v>64</v>
      </c>
      <c r="B22" s="1">
        <v>314.75</v>
      </c>
      <c r="C22" s="1">
        <v>77.243901766249991</v>
      </c>
      <c r="D22" s="1">
        <v>57.498503320000005</v>
      </c>
      <c r="E22" s="1">
        <v>0</v>
      </c>
      <c r="F22" s="1">
        <v>3.6897115390000002</v>
      </c>
      <c r="G22" s="1">
        <v>7.2978205106249998</v>
      </c>
      <c r="H22" s="1">
        <v>0</v>
      </c>
      <c r="I22" s="1">
        <v>817.96263887912494</v>
      </c>
      <c r="J22" s="1">
        <v>78.087266829374997</v>
      </c>
      <c r="K22" s="1">
        <v>4.8496084865000002</v>
      </c>
      <c r="L22" s="1">
        <v>36.839583328374999</v>
      </c>
      <c r="M22" s="1">
        <v>36</v>
      </c>
      <c r="N22" s="1">
        <v>60.113472841999993</v>
      </c>
      <c r="O22" s="1">
        <v>0</v>
      </c>
      <c r="P22" s="1">
        <v>64.606240558875001</v>
      </c>
      <c r="Q22" s="1">
        <v>7.9009370156249998</v>
      </c>
      <c r="R22" s="1">
        <v>261.33521870225002</v>
      </c>
      <c r="S22" s="1">
        <v>0.26512255162499998</v>
      </c>
      <c r="T22" s="1">
        <v>1.327279425</v>
      </c>
      <c r="U22" s="1">
        <v>168.17031864337503</v>
      </c>
      <c r="V22" s="1">
        <v>0.17291666662499999</v>
      </c>
      <c r="W22" s="1">
        <v>0.68375000000000008</v>
      </c>
    </row>
    <row r="23" spans="1:23">
      <c r="A23" t="s">
        <v>65</v>
      </c>
      <c r="B23" s="1">
        <v>370.875</v>
      </c>
      <c r="C23" s="1">
        <v>90.883367142500006</v>
      </c>
      <c r="D23" s="1">
        <v>46.038216659999996</v>
      </c>
      <c r="E23" s="1">
        <v>0</v>
      </c>
      <c r="F23" s="1">
        <v>9.0959065880000001</v>
      </c>
      <c r="G23" s="1">
        <v>18.701135521250002</v>
      </c>
      <c r="H23" s="1">
        <v>0</v>
      </c>
      <c r="I23" s="1">
        <v>821.68916665699999</v>
      </c>
      <c r="J23" s="1">
        <v>106.17846154</v>
      </c>
      <c r="K23" s="1">
        <v>13.651410257375</v>
      </c>
      <c r="L23" s="1">
        <v>39.595833323375004</v>
      </c>
      <c r="M23" s="1">
        <v>36</v>
      </c>
      <c r="N23" s="1">
        <v>70.236410247374991</v>
      </c>
      <c r="O23" s="1">
        <v>0</v>
      </c>
      <c r="P23" s="1">
        <v>131.36217948450002</v>
      </c>
      <c r="Q23" s="1">
        <v>9.0360256412499993</v>
      </c>
      <c r="R23" s="1">
        <v>598.56410256449999</v>
      </c>
      <c r="S23" s="1">
        <v>0.45083333325000002</v>
      </c>
      <c r="T23" s="1">
        <v>7.4999999999999997E-3</v>
      </c>
      <c r="U23" s="1">
        <v>0.16416666675</v>
      </c>
      <c r="V23" s="1">
        <v>292.84583333325003</v>
      </c>
      <c r="W23" s="1">
        <v>91.367500000000007</v>
      </c>
    </row>
    <row r="24" spans="1:23">
      <c r="A24" t="s">
        <v>66</v>
      </c>
      <c r="B24" s="1">
        <v>346.125</v>
      </c>
      <c r="C24" s="1">
        <v>75.919398355500007</v>
      </c>
      <c r="D24" s="1">
        <v>59.117746272000005</v>
      </c>
      <c r="E24" s="1">
        <v>0</v>
      </c>
      <c r="F24" s="1">
        <v>5.2809615389999998</v>
      </c>
      <c r="G24" s="1">
        <v>8.9694871772500004</v>
      </c>
      <c r="H24" s="1">
        <v>0</v>
      </c>
      <c r="I24" s="1">
        <v>821.68916665699999</v>
      </c>
      <c r="J24" s="1">
        <v>102.98143050825</v>
      </c>
      <c r="K24" s="1">
        <v>12.291086360374999</v>
      </c>
      <c r="L24" s="1">
        <v>37.845833333374998</v>
      </c>
      <c r="M24" s="1">
        <v>36</v>
      </c>
      <c r="N24" s="1">
        <v>64.915560060375</v>
      </c>
      <c r="O24" s="1">
        <v>0</v>
      </c>
      <c r="P24" s="1">
        <v>73.609143058499996</v>
      </c>
      <c r="Q24" s="1">
        <v>7.9312685522499997</v>
      </c>
      <c r="R24" s="1">
        <v>427.0398110685</v>
      </c>
      <c r="S24" s="1">
        <v>0.30083333325</v>
      </c>
      <c r="T24" s="1">
        <v>7.4999999999999997E-3</v>
      </c>
      <c r="U24" s="1">
        <v>0.16416666675</v>
      </c>
      <c r="V24" s="1">
        <v>195.34583333325</v>
      </c>
      <c r="W24" s="1">
        <v>61.3675</v>
      </c>
    </row>
    <row r="25" spans="1:23">
      <c r="A25" t="s">
        <v>67</v>
      </c>
      <c r="B25" s="1">
        <v>327</v>
      </c>
      <c r="C25" s="1">
        <v>75.920348272875003</v>
      </c>
      <c r="D25" s="1">
        <v>51.505859977999997</v>
      </c>
      <c r="E25" s="1">
        <v>0</v>
      </c>
      <c r="F25" s="1">
        <v>6.3838186789999991</v>
      </c>
      <c r="G25" s="1">
        <v>13.163772887250001</v>
      </c>
      <c r="H25" s="1">
        <v>0</v>
      </c>
      <c r="I25" s="1">
        <v>791.647500008375</v>
      </c>
      <c r="J25" s="1">
        <v>89.853141038374986</v>
      </c>
      <c r="K25" s="1">
        <v>7.2812179403750008</v>
      </c>
      <c r="L25" s="1">
        <v>37.262500000000003</v>
      </c>
      <c r="M25" s="1">
        <v>36</v>
      </c>
      <c r="N25" s="1">
        <v>53.662051277749995</v>
      </c>
      <c r="O25" s="1">
        <v>0</v>
      </c>
      <c r="P25" s="1">
        <v>98.560897427875005</v>
      </c>
      <c r="Q25" s="1">
        <v>12.58429486625</v>
      </c>
      <c r="R25" s="1">
        <v>216.08717947049996</v>
      </c>
      <c r="S25" s="1">
        <v>0.40083334325000003</v>
      </c>
      <c r="T25" s="1">
        <v>1.8074999999999999</v>
      </c>
      <c r="U25" s="1">
        <v>90.164166666750006</v>
      </c>
      <c r="V25" s="1">
        <v>130.34583333325</v>
      </c>
      <c r="W25" s="1">
        <v>40.842500000000001</v>
      </c>
    </row>
    <row r="26" spans="1:23">
      <c r="A26" t="s">
        <v>68</v>
      </c>
      <c r="B26" s="1">
        <v>318.625</v>
      </c>
      <c r="C26" s="1">
        <v>73.566059454500007</v>
      </c>
      <c r="D26" s="1">
        <v>43.975716659999996</v>
      </c>
      <c r="E26" s="1">
        <v>0</v>
      </c>
      <c r="F26" s="1">
        <v>8.2016758190000001</v>
      </c>
      <c r="G26" s="1">
        <v>18.153058597250002</v>
      </c>
      <c r="H26" s="1">
        <v>0</v>
      </c>
      <c r="I26" s="1">
        <v>821.68916665699999</v>
      </c>
      <c r="J26" s="1">
        <v>81.873974366749991</v>
      </c>
      <c r="K26" s="1">
        <v>8.3437179503749999</v>
      </c>
      <c r="L26" s="1">
        <v>37.470833333374998</v>
      </c>
      <c r="M26" s="1">
        <v>36</v>
      </c>
      <c r="N26" s="1">
        <v>60.303717945374991</v>
      </c>
      <c r="O26" s="1">
        <v>0</v>
      </c>
      <c r="P26" s="1">
        <v>56.977564093499993</v>
      </c>
      <c r="Q26" s="1">
        <v>7.0792948772499997</v>
      </c>
      <c r="R26" s="1">
        <v>310.23717947849997</v>
      </c>
      <c r="S26" s="1">
        <v>0.22583333325000002</v>
      </c>
      <c r="T26" s="1">
        <v>7.4999999999999997E-3</v>
      </c>
      <c r="U26" s="1">
        <v>0.16416666675</v>
      </c>
      <c r="V26" s="1">
        <v>146.59583333325</v>
      </c>
      <c r="W26" s="1">
        <v>46.3675</v>
      </c>
    </row>
    <row r="27" spans="1:23">
      <c r="A27" t="s">
        <v>69</v>
      </c>
      <c r="B27" s="1">
        <v>298.25</v>
      </c>
      <c r="C27" s="1">
        <v>65.593944085000004</v>
      </c>
      <c r="D27" s="1">
        <v>43.222145217999994</v>
      </c>
      <c r="E27" s="1">
        <v>0</v>
      </c>
      <c r="F27" s="1">
        <v>5.5203571404999998</v>
      </c>
      <c r="G27" s="1">
        <v>11.84261904125</v>
      </c>
      <c r="H27" s="1">
        <v>0</v>
      </c>
      <c r="I27" s="1">
        <v>788.07805556375001</v>
      </c>
      <c r="J27" s="1">
        <v>81.18861112350001</v>
      </c>
      <c r="K27" s="1">
        <v>7.6352777792500008</v>
      </c>
      <c r="L27" s="1">
        <v>37.887500000000003</v>
      </c>
      <c r="M27" s="1">
        <v>37</v>
      </c>
      <c r="N27" s="1">
        <v>52.696666652249995</v>
      </c>
      <c r="O27" s="1">
        <v>0</v>
      </c>
      <c r="P27" s="1">
        <v>98.124999982250017</v>
      </c>
      <c r="Q27" s="1">
        <v>11.51333331775</v>
      </c>
      <c r="R27" s="1">
        <v>266.5833333265</v>
      </c>
      <c r="S27" s="1">
        <v>0.12583333325000001</v>
      </c>
      <c r="T27" s="1">
        <v>7.4999999999999997E-3</v>
      </c>
      <c r="U27" s="1">
        <v>0.16416666675</v>
      </c>
      <c r="V27" s="1">
        <v>81.595833333249999</v>
      </c>
      <c r="W27" s="1">
        <v>26.3675</v>
      </c>
    </row>
    <row r="28" spans="1:23">
      <c r="A28" t="s">
        <v>70</v>
      </c>
      <c r="B28" s="1">
        <v>313.995</v>
      </c>
      <c r="C28" s="1">
        <v>77.156438013905003</v>
      </c>
      <c r="D28" s="1">
        <v>51.40778306</v>
      </c>
      <c r="E28" s="1">
        <v>0</v>
      </c>
      <c r="F28" s="1">
        <v>4.8520879092399998</v>
      </c>
      <c r="G28" s="1">
        <v>10.837362633040001</v>
      </c>
      <c r="H28" s="1">
        <v>0</v>
      </c>
      <c r="I28" s="1">
        <v>711.11538462037504</v>
      </c>
      <c r="J28" s="1">
        <v>86.962820532824992</v>
      </c>
      <c r="K28" s="1">
        <v>3.8818589544700002</v>
      </c>
      <c r="L28" s="1">
        <v>36.895833328374998</v>
      </c>
      <c r="M28" s="1">
        <v>36</v>
      </c>
      <c r="N28" s="1">
        <v>45.082820504345001</v>
      </c>
      <c r="O28" s="1">
        <v>0</v>
      </c>
      <c r="P28" s="1">
        <v>70.293589741185016</v>
      </c>
      <c r="Q28" s="1">
        <v>9.3551922992400005</v>
      </c>
      <c r="R28" s="1">
        <v>104.08153844196001</v>
      </c>
      <c r="S28" s="1">
        <v>0.40000002000000001</v>
      </c>
      <c r="T28" s="1">
        <v>3.5999999999999996</v>
      </c>
      <c r="U28" s="1">
        <v>180</v>
      </c>
      <c r="V28" s="1">
        <v>0</v>
      </c>
      <c r="W28" s="1">
        <v>0.52500000000000002</v>
      </c>
    </row>
    <row r="29" spans="1:23">
      <c r="A29" t="s">
        <v>71</v>
      </c>
      <c r="B29" s="1">
        <v>274.25</v>
      </c>
      <c r="C29" s="1">
        <v>96.417277409999997</v>
      </c>
      <c r="D29" s="1">
        <v>47.266788077999998</v>
      </c>
      <c r="E29" s="1">
        <v>0</v>
      </c>
      <c r="F29" s="1">
        <v>8.6785714200000008</v>
      </c>
      <c r="G29" s="1">
        <v>21.392857129999999</v>
      </c>
      <c r="H29" s="1">
        <v>0</v>
      </c>
      <c r="I29" s="1">
        <v>1692.7083333417499</v>
      </c>
      <c r="J29" s="1">
        <v>61.416666676749998</v>
      </c>
      <c r="K29" s="1">
        <v>5.2916666567500004</v>
      </c>
      <c r="L29" s="1">
        <v>25.312499989999999</v>
      </c>
      <c r="M29" s="1">
        <v>24</v>
      </c>
      <c r="N29" s="1">
        <v>53.999999983999999</v>
      </c>
      <c r="O29" s="1">
        <v>0</v>
      </c>
      <c r="P29" s="1">
        <v>122.999999996</v>
      </c>
      <c r="Q29" s="1">
        <v>11.299999983999999</v>
      </c>
      <c r="R29" s="1">
        <v>220.09999999199999</v>
      </c>
      <c r="S29" s="1">
        <v>0.20000001000000001</v>
      </c>
      <c r="T29" s="1">
        <v>1.7999999999999998</v>
      </c>
      <c r="U29" s="1">
        <v>90</v>
      </c>
      <c r="V29" s="1">
        <v>0</v>
      </c>
      <c r="W29" s="1">
        <v>0</v>
      </c>
    </row>
    <row r="30" spans="1:23">
      <c r="A30" t="s">
        <v>72</v>
      </c>
      <c r="B30" s="1">
        <v>439.75</v>
      </c>
      <c r="C30" s="1">
        <v>113.66739957</v>
      </c>
      <c r="D30" s="1">
        <v>54.434431408000002</v>
      </c>
      <c r="E30" s="1">
        <v>0</v>
      </c>
      <c r="F30" s="1">
        <v>6.9857142799999998</v>
      </c>
      <c r="G30" s="1">
        <v>16.528571420000002</v>
      </c>
      <c r="H30" s="1">
        <v>0</v>
      </c>
      <c r="I30" s="1">
        <v>2202.7083333417499</v>
      </c>
      <c r="J30" s="1">
        <v>106.85833334674999</v>
      </c>
      <c r="K30" s="1">
        <v>21.29166666675</v>
      </c>
      <c r="L30" s="1">
        <v>43.583333320000001</v>
      </c>
      <c r="M30" s="1">
        <v>36</v>
      </c>
      <c r="N30" s="1">
        <v>106.66666663399999</v>
      </c>
      <c r="O30" s="1">
        <v>0</v>
      </c>
      <c r="P30" s="1">
        <v>272.33333331599999</v>
      </c>
      <c r="Q30" s="1">
        <v>13.626666633999999</v>
      </c>
      <c r="R30" s="1">
        <v>1562.666666672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</row>
    <row r="31" spans="1:23">
      <c r="A31" t="s">
        <v>73</v>
      </c>
      <c r="B31" s="1">
        <v>300.45833333400003</v>
      </c>
      <c r="C31" s="1">
        <v>86.417277409999997</v>
      </c>
      <c r="D31" s="1">
        <v>45.838216648</v>
      </c>
      <c r="E31" s="1">
        <v>0</v>
      </c>
      <c r="F31" s="1">
        <v>6.5357142799999997</v>
      </c>
      <c r="G31" s="1">
        <v>15.678571420000001</v>
      </c>
      <c r="H31" s="1">
        <v>0</v>
      </c>
      <c r="I31" s="1">
        <v>1869.0972223905001</v>
      </c>
      <c r="J31" s="1">
        <v>64.8944444551</v>
      </c>
      <c r="K31" s="1">
        <v>10.694444434499999</v>
      </c>
      <c r="L31" s="1">
        <v>25.3333333235</v>
      </c>
      <c r="M31" s="1">
        <v>24</v>
      </c>
      <c r="N31" s="1">
        <v>53.999999983999999</v>
      </c>
      <c r="O31" s="1">
        <v>0</v>
      </c>
      <c r="P31" s="1">
        <v>124.499999996</v>
      </c>
      <c r="Q31" s="1">
        <v>11.299999983999999</v>
      </c>
      <c r="R31" s="1">
        <v>237.59999999199999</v>
      </c>
      <c r="S31" s="1">
        <v>0.20000001000000001</v>
      </c>
      <c r="T31" s="1">
        <v>1.7999999999999998</v>
      </c>
      <c r="U31" s="1">
        <v>90</v>
      </c>
      <c r="V31" s="1">
        <v>0</v>
      </c>
      <c r="W31" s="1">
        <v>0</v>
      </c>
    </row>
    <row r="32" spans="1:23">
      <c r="A32" t="s">
        <v>74</v>
      </c>
      <c r="B32" s="1">
        <v>323.125</v>
      </c>
      <c r="C32" s="1">
        <v>71.385348282999999</v>
      </c>
      <c r="D32" s="1">
        <v>49.577288547999999</v>
      </c>
      <c r="E32" s="1">
        <v>0</v>
      </c>
      <c r="F32" s="1">
        <v>3.2384615389999998</v>
      </c>
      <c r="G32" s="1">
        <v>6.4461538440000004</v>
      </c>
      <c r="H32" s="1">
        <v>0</v>
      </c>
      <c r="I32" s="1">
        <v>1402.0833333417499</v>
      </c>
      <c r="J32" s="1">
        <v>73.883974381749994</v>
      </c>
      <c r="K32" s="1">
        <v>18.90705127375</v>
      </c>
      <c r="L32" s="1">
        <v>12.25</v>
      </c>
      <c r="M32" s="1">
        <v>8</v>
      </c>
      <c r="N32" s="1">
        <v>84.615384600999988</v>
      </c>
      <c r="O32" s="1">
        <v>0</v>
      </c>
      <c r="P32" s="1">
        <v>157.769230752</v>
      </c>
      <c r="Q32" s="1">
        <v>13.278461522999999</v>
      </c>
      <c r="R32" s="1">
        <v>936.25384613799997</v>
      </c>
      <c r="S32" s="1">
        <v>0.20000001000000001</v>
      </c>
      <c r="T32" s="1">
        <v>1.7999999999999998</v>
      </c>
      <c r="U32" s="1">
        <v>90</v>
      </c>
      <c r="V32" s="1">
        <v>0</v>
      </c>
      <c r="W32" s="1">
        <v>0</v>
      </c>
    </row>
    <row r="33" spans="1:23">
      <c r="A33" t="s">
        <v>75</v>
      </c>
      <c r="B33" s="1">
        <v>407.80034722400001</v>
      </c>
      <c r="C33" s="1">
        <v>83.792607196000006</v>
      </c>
      <c r="D33" s="1">
        <v>62.340853652</v>
      </c>
      <c r="E33" s="1">
        <v>0</v>
      </c>
      <c r="F33" s="1">
        <v>3.4649999999999999</v>
      </c>
      <c r="G33" s="1">
        <v>6.5450000000000008</v>
      </c>
      <c r="H33" s="1">
        <v>0</v>
      </c>
      <c r="I33" s="1">
        <v>993.79166736000002</v>
      </c>
      <c r="J33" s="1">
        <v>217.24461809759998</v>
      </c>
      <c r="K33" s="1">
        <v>14.69999996</v>
      </c>
      <c r="L33" s="1">
        <v>105.33333333350001</v>
      </c>
      <c r="M33" s="1">
        <v>100</v>
      </c>
      <c r="N33" s="1">
        <v>52</v>
      </c>
      <c r="O33" s="1">
        <v>0</v>
      </c>
      <c r="P33" s="1">
        <v>102.1</v>
      </c>
      <c r="Q33" s="1">
        <v>7.8</v>
      </c>
      <c r="R33" s="1">
        <v>950.89999995999995</v>
      </c>
      <c r="S33" s="1">
        <v>0.80000004000000002</v>
      </c>
      <c r="T33" s="1">
        <v>7.1999999999999993</v>
      </c>
      <c r="U33" s="1">
        <v>360</v>
      </c>
      <c r="V33" s="1">
        <v>0</v>
      </c>
      <c r="W33" s="1">
        <v>0</v>
      </c>
    </row>
    <row r="34" spans="1:23">
      <c r="A34" t="s">
        <v>76</v>
      </c>
      <c r="B34" s="1">
        <v>406.67534722400001</v>
      </c>
      <c r="C34" s="1">
        <v>76.417277409999997</v>
      </c>
      <c r="D34" s="1">
        <v>43.623930932999997</v>
      </c>
      <c r="E34" s="1">
        <v>0</v>
      </c>
      <c r="F34" s="1">
        <v>5.4642857100000004</v>
      </c>
      <c r="G34" s="1">
        <v>12.821428565</v>
      </c>
      <c r="H34" s="1">
        <v>0</v>
      </c>
      <c r="I34" s="1">
        <v>1290.62500070175</v>
      </c>
      <c r="J34" s="1">
        <v>149.63628474435001</v>
      </c>
      <c r="K34" s="1">
        <v>13.29166664675</v>
      </c>
      <c r="L34" s="1">
        <v>81.333333333499994</v>
      </c>
      <c r="M34" s="1">
        <v>76</v>
      </c>
      <c r="N34" s="1">
        <v>89.999999994000007</v>
      </c>
      <c r="O34" s="1">
        <v>0</v>
      </c>
      <c r="P34" s="1">
        <v>162.99999999599999</v>
      </c>
      <c r="Q34" s="1">
        <v>13.599999994000001</v>
      </c>
      <c r="R34" s="1">
        <v>960.199999972</v>
      </c>
      <c r="S34" s="1">
        <v>0.40000002000000001</v>
      </c>
      <c r="T34" s="1">
        <v>3.5999999999999996</v>
      </c>
      <c r="U34" s="1">
        <v>180</v>
      </c>
      <c r="V34" s="1">
        <v>0</v>
      </c>
      <c r="W34" s="1">
        <v>0</v>
      </c>
    </row>
    <row r="35" spans="1:23">
      <c r="A35" t="s">
        <v>77</v>
      </c>
      <c r="B35" s="1">
        <v>287.95833333400003</v>
      </c>
      <c r="C35" s="1">
        <v>67.084188359999999</v>
      </c>
      <c r="D35" s="1">
        <v>56.673503320000002</v>
      </c>
      <c r="E35" s="1">
        <v>0</v>
      </c>
      <c r="F35" s="1">
        <v>3.15</v>
      </c>
      <c r="G35" s="1">
        <v>5.95</v>
      </c>
      <c r="H35" s="1">
        <v>0</v>
      </c>
      <c r="I35" s="1">
        <v>1351.8750001600001</v>
      </c>
      <c r="J35" s="1">
        <v>132.7000000406</v>
      </c>
      <c r="K35" s="1">
        <v>4.4999999600000002</v>
      </c>
      <c r="L35" s="1">
        <v>36.333333333500001</v>
      </c>
      <c r="M35" s="1">
        <v>36</v>
      </c>
      <c r="N35" s="1">
        <v>12</v>
      </c>
      <c r="O35" s="1">
        <v>0</v>
      </c>
      <c r="P35" s="1">
        <v>1.5</v>
      </c>
      <c r="Q35" s="1">
        <v>6</v>
      </c>
      <c r="R35" s="1">
        <v>7.8999999599999997</v>
      </c>
      <c r="S35" s="1">
        <v>0.80000004000000002</v>
      </c>
      <c r="T35" s="1">
        <v>7.1999999999999993</v>
      </c>
      <c r="U35" s="1">
        <v>360</v>
      </c>
      <c r="V35" s="1">
        <v>0</v>
      </c>
      <c r="W35" s="1">
        <v>0</v>
      </c>
    </row>
    <row r="36" spans="1:23">
      <c r="A36" t="s">
        <v>78</v>
      </c>
      <c r="B36" s="1">
        <v>277.83333333400003</v>
      </c>
      <c r="C36" s="1">
        <v>66.109585110000012</v>
      </c>
      <c r="D36" s="1">
        <v>43.393161704999997</v>
      </c>
      <c r="E36" s="1">
        <v>0</v>
      </c>
      <c r="F36" s="1">
        <v>5.4642857100000004</v>
      </c>
      <c r="G36" s="1">
        <v>12.821428565</v>
      </c>
      <c r="H36" s="1">
        <v>0</v>
      </c>
      <c r="I36" s="1">
        <v>1668.86217965375</v>
      </c>
      <c r="J36" s="1">
        <v>86.158333357349989</v>
      </c>
      <c r="K36" s="1">
        <v>5.6249999867499998</v>
      </c>
      <c r="L36" s="1">
        <v>24.333333333500001</v>
      </c>
      <c r="M36" s="1">
        <v>24</v>
      </c>
      <c r="N36" s="1">
        <v>47.384615369999999</v>
      </c>
      <c r="O36" s="1">
        <v>0</v>
      </c>
      <c r="P36" s="1">
        <v>58.923076909999999</v>
      </c>
      <c r="Q36" s="1">
        <v>10.18461537</v>
      </c>
      <c r="R36" s="1">
        <v>129.97948716000002</v>
      </c>
      <c r="S36" s="1">
        <v>0.26666667999999999</v>
      </c>
      <c r="T36" s="1">
        <v>2.4</v>
      </c>
      <c r="U36" s="1">
        <v>120</v>
      </c>
      <c r="V36" s="1">
        <v>0</v>
      </c>
      <c r="W36" s="1">
        <v>0</v>
      </c>
    </row>
    <row r="37" spans="1:23">
      <c r="A37" t="s">
        <v>79</v>
      </c>
      <c r="B37" s="1">
        <v>324.83333333399997</v>
      </c>
      <c r="C37" s="1">
        <v>76.863636360000001</v>
      </c>
      <c r="D37" s="1">
        <v>18.545454525</v>
      </c>
      <c r="E37" s="1">
        <v>0</v>
      </c>
      <c r="F37" s="1">
        <v>20.454545475</v>
      </c>
      <c r="G37" s="1">
        <v>20.454545475</v>
      </c>
      <c r="H37" s="1">
        <v>0</v>
      </c>
      <c r="I37" s="1">
        <v>1743.0681819850001</v>
      </c>
      <c r="J37" s="1">
        <v>138.7000000406</v>
      </c>
      <c r="K37" s="1">
        <v>14.499999970000001</v>
      </c>
      <c r="L37" s="1">
        <v>37.3333333235</v>
      </c>
      <c r="M37" s="1">
        <v>36</v>
      </c>
      <c r="N37" s="1">
        <v>19.999999979999998</v>
      </c>
      <c r="O37" s="1">
        <v>0</v>
      </c>
      <c r="P37" s="1">
        <v>68.499999990000006</v>
      </c>
      <c r="Q37" s="1">
        <v>6.4999999800000001</v>
      </c>
      <c r="R37" s="1">
        <v>328.79999998</v>
      </c>
      <c r="S37" s="1">
        <v>0.60000003000000002</v>
      </c>
      <c r="T37" s="1">
        <v>5.3999999999999995</v>
      </c>
      <c r="U37" s="1">
        <v>270</v>
      </c>
      <c r="V37" s="1">
        <v>0</v>
      </c>
      <c r="W37" s="1">
        <v>0</v>
      </c>
    </row>
    <row r="38" spans="1:23">
      <c r="A38" t="s">
        <v>80</v>
      </c>
      <c r="B38" s="1">
        <v>217.88333333399999</v>
      </c>
      <c r="C38" s="1">
        <v>99.051892788000004</v>
      </c>
      <c r="D38" s="1">
        <v>46.802502368999995</v>
      </c>
      <c r="E38" s="1">
        <v>0</v>
      </c>
      <c r="F38" s="1">
        <v>8.1456043889999989</v>
      </c>
      <c r="G38" s="1">
        <v>19.881868119</v>
      </c>
      <c r="H38" s="1">
        <v>0</v>
      </c>
      <c r="I38" s="1">
        <v>1003.4722223865001</v>
      </c>
      <c r="J38" s="1">
        <v>25.086752140100003</v>
      </c>
      <c r="K38" s="1">
        <v>11.3098290615</v>
      </c>
      <c r="L38" s="1">
        <v>13.833333318499999</v>
      </c>
      <c r="M38" s="1">
        <v>12</v>
      </c>
      <c r="N38" s="1">
        <v>46.115384598999995</v>
      </c>
      <c r="O38" s="1">
        <v>0</v>
      </c>
      <c r="P38" s="1">
        <v>136.76923076399999</v>
      </c>
      <c r="Q38" s="1">
        <v>7.3384615210000002</v>
      </c>
      <c r="R38" s="1">
        <v>370.65384616699998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</row>
    <row r="39" spans="1:23">
      <c r="A39" t="s">
        <v>81</v>
      </c>
      <c r="B39" s="1">
        <v>242.708333334</v>
      </c>
      <c r="C39" s="1">
        <v>73.507338570500011</v>
      </c>
      <c r="D39" s="1">
        <v>61.531232176000003</v>
      </c>
      <c r="E39" s="1">
        <v>0</v>
      </c>
      <c r="F39" s="1">
        <v>3.6123076924999999</v>
      </c>
      <c r="G39" s="1">
        <v>6.9407692300000008</v>
      </c>
      <c r="H39" s="1">
        <v>0</v>
      </c>
      <c r="I39" s="1">
        <v>610.62500016000001</v>
      </c>
      <c r="J39" s="1">
        <v>132.16153850310002</v>
      </c>
      <c r="K39" s="1">
        <v>4.5769230374999994</v>
      </c>
      <c r="L39" s="1">
        <v>38.333333333500001</v>
      </c>
      <c r="M39" s="1">
        <v>38</v>
      </c>
      <c r="N39" s="1">
        <v>12.5769230775</v>
      </c>
      <c r="O39" s="1">
        <v>0</v>
      </c>
      <c r="P39" s="1">
        <v>3.8461538449999999</v>
      </c>
      <c r="Q39" s="1">
        <v>6.1923076925</v>
      </c>
      <c r="R39" s="1">
        <v>21.169230729999999</v>
      </c>
      <c r="S39" s="1">
        <v>0.80000004000000002</v>
      </c>
      <c r="T39" s="1">
        <v>7.1999999999999993</v>
      </c>
      <c r="U39" s="1">
        <v>360</v>
      </c>
      <c r="V39" s="1">
        <v>0</v>
      </c>
      <c r="W39" s="1">
        <v>0</v>
      </c>
    </row>
    <row r="40" spans="1:23">
      <c r="A40" t="s">
        <v>82</v>
      </c>
      <c r="B40" s="1">
        <v>362.95833333400003</v>
      </c>
      <c r="C40" s="1">
        <v>170.38652089100003</v>
      </c>
      <c r="D40" s="1">
        <v>128.80095024400001</v>
      </c>
      <c r="E40" s="1">
        <v>0</v>
      </c>
      <c r="F40" s="1">
        <v>7.5584615389999996</v>
      </c>
      <c r="G40" s="1">
        <v>14.606153844000001</v>
      </c>
      <c r="H40" s="1">
        <v>0</v>
      </c>
      <c r="I40" s="1">
        <v>807.84722239050006</v>
      </c>
      <c r="J40" s="1">
        <v>45.086752150099997</v>
      </c>
      <c r="K40" s="1">
        <v>14.8098290615</v>
      </c>
      <c r="L40" s="1">
        <v>13.3333333235</v>
      </c>
      <c r="M40" s="1">
        <v>12</v>
      </c>
      <c r="N40" s="1">
        <v>56.615384590999994</v>
      </c>
      <c r="O40" s="1">
        <v>0</v>
      </c>
      <c r="P40" s="1">
        <v>137.769230752</v>
      </c>
      <c r="Q40" s="1">
        <v>11.338461512999999</v>
      </c>
      <c r="R40" s="1">
        <v>388.15384615800002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</row>
    <row r="41" spans="1:23">
      <c r="A41" t="s">
        <v>83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</row>
    <row r="42" spans="1:23">
      <c r="A42" t="s">
        <v>84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</row>
    <row r="43" spans="1:23">
      <c r="A43" t="s">
        <v>85</v>
      </c>
      <c r="B43" s="1">
        <v>389.25</v>
      </c>
      <c r="C43" s="1">
        <v>79.122500019874991</v>
      </c>
      <c r="D43" s="1">
        <v>46.146428595000003</v>
      </c>
      <c r="E43" s="1">
        <v>0</v>
      </c>
      <c r="F43" s="1">
        <v>9.6453571149999995</v>
      </c>
      <c r="G43" s="1">
        <v>17.146190463250001</v>
      </c>
      <c r="H43" s="1">
        <v>0</v>
      </c>
      <c r="I43" s="1">
        <v>1202.6891666666252</v>
      </c>
      <c r="J43" s="1">
        <v>185.22333337487498</v>
      </c>
      <c r="K43" s="1">
        <v>26.536666645</v>
      </c>
      <c r="L43" s="1">
        <v>62.220833333374998</v>
      </c>
      <c r="M43" s="1">
        <v>62</v>
      </c>
      <c r="N43" s="1">
        <v>20.538333313374999</v>
      </c>
      <c r="O43" s="1">
        <v>0</v>
      </c>
      <c r="P43" s="1">
        <v>84.374999979125008</v>
      </c>
      <c r="Q43" s="1">
        <v>16.273333313249999</v>
      </c>
      <c r="R43" s="1">
        <v>1942.0499999775</v>
      </c>
      <c r="S43" s="1">
        <v>0.43416668825000004</v>
      </c>
      <c r="T43" s="1">
        <v>3.9074999999999998</v>
      </c>
      <c r="U43" s="1">
        <v>195.16416666674999</v>
      </c>
      <c r="V43" s="1">
        <v>0.34583333324999999</v>
      </c>
      <c r="W43" s="1">
        <v>0.84250000000000003</v>
      </c>
    </row>
    <row r="44" spans="1:23">
      <c r="A44" t="s">
        <v>86</v>
      </c>
      <c r="B44" s="1">
        <v>314.25</v>
      </c>
      <c r="C44" s="1">
        <v>89.084038478875001</v>
      </c>
      <c r="D44" s="1">
        <v>39.360714293000001</v>
      </c>
      <c r="E44" s="1">
        <v>0</v>
      </c>
      <c r="F44" s="1">
        <v>9.7772252519999991</v>
      </c>
      <c r="G44" s="1">
        <v>19.261575075250001</v>
      </c>
      <c r="H44" s="1">
        <v>0</v>
      </c>
      <c r="I44" s="1">
        <v>1079.9113888971251</v>
      </c>
      <c r="J44" s="1">
        <v>71.231880356125004</v>
      </c>
      <c r="K44" s="1">
        <v>27.102905985499998</v>
      </c>
      <c r="L44" s="1">
        <v>25.220833323375</v>
      </c>
      <c r="M44" s="1">
        <v>24</v>
      </c>
      <c r="N44" s="1">
        <v>61.576794848374995</v>
      </c>
      <c r="O44" s="1">
        <v>0</v>
      </c>
      <c r="P44" s="1">
        <v>191.29807690312498</v>
      </c>
      <c r="Q44" s="1">
        <v>19.069487154250002</v>
      </c>
      <c r="R44" s="1">
        <v>1558.2179487224998</v>
      </c>
      <c r="S44" s="1">
        <v>8.3333324999999999E-4</v>
      </c>
      <c r="T44" s="1">
        <v>7.4999999999999997E-3</v>
      </c>
      <c r="U44" s="1">
        <v>0.16416666675</v>
      </c>
      <c r="V44" s="1">
        <v>0.34583333324999999</v>
      </c>
      <c r="W44" s="1">
        <v>0.84250000000000003</v>
      </c>
    </row>
    <row r="45" spans="1:23">
      <c r="A45" t="s">
        <v>87</v>
      </c>
      <c r="B45" s="1">
        <v>298.25</v>
      </c>
      <c r="C45" s="1">
        <v>63.507848282875003</v>
      </c>
      <c r="D45" s="1">
        <v>48.652288560000002</v>
      </c>
      <c r="E45" s="1">
        <v>0</v>
      </c>
      <c r="F45" s="1">
        <v>3.2409615389999997</v>
      </c>
      <c r="G45" s="1">
        <v>6.4494871772500009</v>
      </c>
      <c r="H45" s="1">
        <v>0</v>
      </c>
      <c r="I45" s="1">
        <v>882.68916666662506</v>
      </c>
      <c r="J45" s="1">
        <v>166.91564106987499</v>
      </c>
      <c r="K45" s="1">
        <v>22.152051262000001</v>
      </c>
      <c r="L45" s="1">
        <v>48.220833333374998</v>
      </c>
      <c r="M45" s="1">
        <v>48</v>
      </c>
      <c r="N45" s="1">
        <v>22.153717930374999</v>
      </c>
      <c r="O45" s="1">
        <v>0</v>
      </c>
      <c r="P45" s="1">
        <v>92.144230745125014</v>
      </c>
      <c r="Q45" s="1">
        <v>16.811794852249999</v>
      </c>
      <c r="R45" s="1">
        <v>1975.2038461335001</v>
      </c>
      <c r="S45" s="1">
        <v>0.43416668825000004</v>
      </c>
      <c r="T45" s="1">
        <v>3.9074999999999998</v>
      </c>
      <c r="U45" s="1">
        <v>195.16416666674999</v>
      </c>
      <c r="V45" s="1">
        <v>0.34583333324999999</v>
      </c>
      <c r="W45" s="1">
        <v>0.84250000000000003</v>
      </c>
    </row>
    <row r="46" spans="1:23">
      <c r="A46" t="s">
        <v>88</v>
      </c>
      <c r="B46" s="1">
        <v>338.25</v>
      </c>
      <c r="C46" s="1">
        <v>67.709588148875</v>
      </c>
      <c r="D46" s="1">
        <v>39.650823553000002</v>
      </c>
      <c r="E46" s="1">
        <v>0</v>
      </c>
      <c r="F46" s="1">
        <v>6.0879395570000003</v>
      </c>
      <c r="G46" s="1">
        <v>14.515146510249998</v>
      </c>
      <c r="H46" s="1">
        <v>0</v>
      </c>
      <c r="I46" s="1">
        <v>1079.9113888971251</v>
      </c>
      <c r="J46" s="1">
        <v>83.231880366125012</v>
      </c>
      <c r="K46" s="1">
        <v>27.102905985499998</v>
      </c>
      <c r="L46" s="1">
        <v>19.220833333375001</v>
      </c>
      <c r="M46" s="1">
        <v>19</v>
      </c>
      <c r="N46" s="1">
        <v>58.576794848374995</v>
      </c>
      <c r="O46" s="1">
        <v>0</v>
      </c>
      <c r="P46" s="1">
        <v>138.298076893125</v>
      </c>
      <c r="Q46" s="1">
        <v>19.069487154250002</v>
      </c>
      <c r="R46" s="1">
        <v>1469.2179487124999</v>
      </c>
      <c r="S46" s="1">
        <v>8.3333324999999999E-4</v>
      </c>
      <c r="T46" s="1">
        <v>7.4999999999999997E-3</v>
      </c>
      <c r="U46" s="1">
        <v>0.16416666675</v>
      </c>
      <c r="V46" s="1">
        <v>0.34583333324999999</v>
      </c>
      <c r="W46" s="1">
        <v>0.84250000000000003</v>
      </c>
    </row>
    <row r="47" spans="1:23">
      <c r="A47" t="s">
        <v>89</v>
      </c>
      <c r="B47" s="1">
        <v>322.75</v>
      </c>
      <c r="C47" s="1">
        <v>73.257115397874998</v>
      </c>
      <c r="D47" s="1">
        <v>44.753571450000003</v>
      </c>
      <c r="E47" s="1">
        <v>0</v>
      </c>
      <c r="F47" s="1">
        <v>6.969532944</v>
      </c>
      <c r="G47" s="1">
        <v>9.9209157422499992</v>
      </c>
      <c r="H47" s="1">
        <v>0</v>
      </c>
      <c r="I47" s="1">
        <v>882.68916666662506</v>
      </c>
      <c r="J47" s="1">
        <v>155.582307729875</v>
      </c>
      <c r="K47" s="1">
        <v>21.985384596999999</v>
      </c>
      <c r="L47" s="1">
        <v>49.720833328375001</v>
      </c>
      <c r="M47" s="1">
        <v>49</v>
      </c>
      <c r="N47" s="1">
        <v>23.153717930374999</v>
      </c>
      <c r="O47" s="1">
        <v>0</v>
      </c>
      <c r="P47" s="1">
        <v>118.64423075012502</v>
      </c>
      <c r="Q47" s="1">
        <v>16.561794852249999</v>
      </c>
      <c r="R47" s="1">
        <v>2019.6871794735</v>
      </c>
      <c r="S47" s="1">
        <v>0.40083335325000002</v>
      </c>
      <c r="T47" s="1">
        <v>3.6074999999999995</v>
      </c>
      <c r="U47" s="1">
        <v>180.16416666674999</v>
      </c>
      <c r="V47" s="1">
        <v>0.34583333324999999</v>
      </c>
      <c r="W47" s="1">
        <v>0.84250000000000003</v>
      </c>
    </row>
    <row r="48" spans="1:23">
      <c r="A48" t="s">
        <v>90</v>
      </c>
      <c r="B48" s="1">
        <v>345.75</v>
      </c>
      <c r="C48" s="1">
        <v>76.584038478875001</v>
      </c>
      <c r="D48" s="1">
        <v>30.250824177000002</v>
      </c>
      <c r="E48" s="1">
        <v>0</v>
      </c>
      <c r="F48" s="1">
        <v>9.4997527239999986</v>
      </c>
      <c r="G48" s="1">
        <v>22.541794859249997</v>
      </c>
      <c r="H48" s="1">
        <v>0</v>
      </c>
      <c r="I48" s="1">
        <v>1175.2447222261251</v>
      </c>
      <c r="J48" s="1">
        <v>68.231880356125004</v>
      </c>
      <c r="K48" s="1">
        <v>27.295213679499998</v>
      </c>
      <c r="L48" s="1">
        <v>24.720833328375001</v>
      </c>
      <c r="M48" s="1">
        <v>24</v>
      </c>
      <c r="N48" s="1">
        <v>69.776794853375009</v>
      </c>
      <c r="O48" s="1">
        <v>0</v>
      </c>
      <c r="P48" s="1">
        <v>200.22115383212497</v>
      </c>
      <c r="Q48" s="1">
        <v>19.566153830250002</v>
      </c>
      <c r="R48" s="1">
        <v>1461.4358974234999</v>
      </c>
      <c r="S48" s="1">
        <v>8.3333324999999999E-4</v>
      </c>
      <c r="T48" s="1">
        <v>7.4999999999999997E-3</v>
      </c>
      <c r="U48" s="1">
        <v>0.16416666675</v>
      </c>
      <c r="V48" s="1">
        <v>0.34583333324999999</v>
      </c>
      <c r="W48" s="1">
        <v>0.84250000000000003</v>
      </c>
    </row>
    <row r="49" spans="1:23">
      <c r="A49" t="s">
        <v>91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</row>
    <row r="50" spans="1:23">
      <c r="A50" t="s">
        <v>92</v>
      </c>
      <c r="B50" s="1">
        <v>322.375</v>
      </c>
      <c r="C50" s="1">
        <v>81.979871802250003</v>
      </c>
      <c r="D50" s="1">
        <v>21.285714284000001</v>
      </c>
      <c r="E50" s="1">
        <v>0</v>
      </c>
      <c r="F50" s="1">
        <v>16.920082397000002</v>
      </c>
      <c r="G50" s="1">
        <v>23.547289365250002</v>
      </c>
      <c r="H50" s="1">
        <v>0</v>
      </c>
      <c r="I50" s="1">
        <v>1085.4947222215001</v>
      </c>
      <c r="J50" s="1">
        <v>48.169380351000001</v>
      </c>
      <c r="K50" s="1">
        <v>25.540405985500001</v>
      </c>
      <c r="L50" s="1">
        <v>13.13749999</v>
      </c>
      <c r="M50" s="1">
        <v>12</v>
      </c>
      <c r="N50" s="1">
        <v>63.060128189749996</v>
      </c>
      <c r="O50" s="1">
        <v>0</v>
      </c>
      <c r="P50" s="1">
        <v>163.38141024349997</v>
      </c>
      <c r="Q50" s="1">
        <v>16.211987167250001</v>
      </c>
      <c r="R50" s="1">
        <v>1512.7179487214999</v>
      </c>
      <c r="S50" s="1">
        <v>8.3333324999999999E-4</v>
      </c>
      <c r="T50" s="1">
        <v>7.4999999999999997E-3</v>
      </c>
      <c r="U50" s="1">
        <v>0.16416666675</v>
      </c>
      <c r="V50" s="1">
        <v>0.34583333324999999</v>
      </c>
      <c r="W50" s="1">
        <v>0.3175</v>
      </c>
    </row>
    <row r="51" spans="1:23">
      <c r="A51" t="s">
        <v>93</v>
      </c>
      <c r="B51" s="1">
        <v>368.5</v>
      </c>
      <c r="C51" s="1">
        <v>69.108782071125006</v>
      </c>
      <c r="D51" s="1">
        <v>44.432142879000004</v>
      </c>
      <c r="E51" s="1">
        <v>0</v>
      </c>
      <c r="F51" s="1">
        <v>7.6148900859999999</v>
      </c>
      <c r="G51" s="1">
        <v>11.638534788499999</v>
      </c>
      <c r="H51" s="1">
        <v>0</v>
      </c>
      <c r="I51" s="1">
        <v>1113.461666666625</v>
      </c>
      <c r="J51" s="1">
        <v>183.85147440487501</v>
      </c>
      <c r="K51" s="1">
        <v>32.959551261999998</v>
      </c>
      <c r="L51" s="1">
        <v>60.233333333375001</v>
      </c>
      <c r="M51" s="1">
        <v>60</v>
      </c>
      <c r="N51" s="1">
        <v>22.842051262125</v>
      </c>
      <c r="O51" s="1">
        <v>0</v>
      </c>
      <c r="P51" s="1">
        <v>100.26923074262498</v>
      </c>
      <c r="Q51" s="1">
        <v>17.194294850499997</v>
      </c>
      <c r="R51" s="1">
        <v>2016.5371794660002</v>
      </c>
      <c r="S51" s="1">
        <v>0.43500002150000006</v>
      </c>
      <c r="T51" s="1">
        <v>3.915</v>
      </c>
      <c r="U51" s="1">
        <v>195.32833333350001</v>
      </c>
      <c r="V51" s="1">
        <v>0.69166666649999997</v>
      </c>
      <c r="W51" s="1">
        <v>1.1600000000000001</v>
      </c>
    </row>
    <row r="52" spans="1:23">
      <c r="A52" t="s">
        <v>94</v>
      </c>
      <c r="B52" s="1">
        <v>351.375</v>
      </c>
      <c r="C52" s="1">
        <v>70.584038488874995</v>
      </c>
      <c r="D52" s="1">
        <v>33.217857148</v>
      </c>
      <c r="E52" s="1">
        <v>0</v>
      </c>
      <c r="F52" s="1">
        <v>9.4200823969999998</v>
      </c>
      <c r="G52" s="1">
        <v>19.261575075250001</v>
      </c>
      <c r="H52" s="1">
        <v>0</v>
      </c>
      <c r="I52" s="1">
        <v>1470.5363888871252</v>
      </c>
      <c r="J52" s="1">
        <v>101.30271369937499</v>
      </c>
      <c r="K52" s="1">
        <v>31.102905985500001</v>
      </c>
      <c r="L52" s="1">
        <v>30.220833333375001</v>
      </c>
      <c r="M52" s="1">
        <v>30</v>
      </c>
      <c r="N52" s="1">
        <v>63.576794848374995</v>
      </c>
      <c r="O52" s="1">
        <v>0</v>
      </c>
      <c r="P52" s="1">
        <v>146.29807689312497</v>
      </c>
      <c r="Q52" s="1">
        <v>23.16948716425</v>
      </c>
      <c r="R52" s="1">
        <v>2058.2179487025001</v>
      </c>
      <c r="S52" s="1">
        <v>8.3333324999999999E-4</v>
      </c>
      <c r="T52" s="1">
        <v>7.4999999999999997E-3</v>
      </c>
      <c r="U52" s="1">
        <v>0.16416666675</v>
      </c>
      <c r="V52" s="1">
        <v>0.34583333324999999</v>
      </c>
      <c r="W52" s="1">
        <v>0.84250000000000003</v>
      </c>
    </row>
    <row r="53" spans="1:23">
      <c r="A53" t="s">
        <v>95</v>
      </c>
      <c r="B53" s="1">
        <v>375.25</v>
      </c>
      <c r="C53" s="1">
        <v>66.923831067999998</v>
      </c>
      <c r="D53" s="1">
        <v>43.92857145</v>
      </c>
      <c r="E53" s="1">
        <v>0</v>
      </c>
      <c r="F53" s="1">
        <v>6.9670329439999996</v>
      </c>
      <c r="G53" s="1">
        <v>9.9175824089999995</v>
      </c>
      <c r="H53" s="1">
        <v>0</v>
      </c>
      <c r="I53" s="1">
        <v>1053.125</v>
      </c>
      <c r="J53" s="1">
        <v>182.76069004650003</v>
      </c>
      <c r="K53" s="1">
        <v>37.027149342000001</v>
      </c>
      <c r="L53" s="1">
        <v>60.375</v>
      </c>
      <c r="M53" s="1">
        <v>60</v>
      </c>
      <c r="N53" s="1">
        <v>22.017345372000001</v>
      </c>
      <c r="O53" s="1">
        <v>0</v>
      </c>
      <c r="P53" s="1">
        <v>97.406485630999981</v>
      </c>
      <c r="Q53" s="1">
        <v>17.328657568999997</v>
      </c>
      <c r="R53" s="1">
        <v>2131.536199101</v>
      </c>
      <c r="S53" s="1">
        <v>0.382352945</v>
      </c>
      <c r="T53" s="1">
        <v>1.9117647250000001</v>
      </c>
      <c r="U53" s="1">
        <v>242.79411767000002</v>
      </c>
      <c r="V53" s="1">
        <v>0</v>
      </c>
      <c r="W53" s="1">
        <v>0</v>
      </c>
    </row>
    <row r="54" spans="1:23">
      <c r="A54" t="s">
        <v>96</v>
      </c>
      <c r="B54" s="1">
        <v>327.5</v>
      </c>
      <c r="C54" s="1">
        <v>74.692307709999994</v>
      </c>
      <c r="D54" s="1">
        <v>33.214285717999999</v>
      </c>
      <c r="E54" s="1">
        <v>0</v>
      </c>
      <c r="F54" s="1">
        <v>7.19780218</v>
      </c>
      <c r="G54" s="1">
        <v>13.351648340000001</v>
      </c>
      <c r="H54" s="1">
        <v>0</v>
      </c>
      <c r="I54" s="1">
        <v>1470.3472222205</v>
      </c>
      <c r="J54" s="1">
        <v>65.569764970999998</v>
      </c>
      <c r="K54" s="1">
        <v>35.5021367545</v>
      </c>
      <c r="L54" s="1">
        <v>13.374999989999999</v>
      </c>
      <c r="M54" s="1">
        <v>12</v>
      </c>
      <c r="N54" s="1">
        <v>66.307692283999998</v>
      </c>
      <c r="O54" s="1">
        <v>0</v>
      </c>
      <c r="P54" s="1">
        <v>190.38461536599999</v>
      </c>
      <c r="Q54" s="1">
        <v>22.869230754</v>
      </c>
      <c r="R54" s="1">
        <v>2146.0769230720002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</row>
    <row r="55" spans="1:23">
      <c r="A55" t="s">
        <v>97</v>
      </c>
      <c r="B55" s="1">
        <v>315.625</v>
      </c>
      <c r="C55" s="1">
        <v>72.441410246749996</v>
      </c>
      <c r="D55" s="1">
        <v>57.142857169999999</v>
      </c>
      <c r="E55" s="1">
        <v>0</v>
      </c>
      <c r="F55" s="1">
        <v>6.6233790925000005</v>
      </c>
      <c r="G55" s="1">
        <v>6.19838827325</v>
      </c>
      <c r="H55" s="1">
        <v>0</v>
      </c>
      <c r="I55" s="1">
        <v>590.77250000000004</v>
      </c>
      <c r="J55" s="1">
        <v>139.78903845324999</v>
      </c>
      <c r="K55" s="1">
        <v>22.384423097500001</v>
      </c>
      <c r="L55" s="1">
        <v>50.137500000000003</v>
      </c>
      <c r="M55" s="1">
        <v>50</v>
      </c>
      <c r="N55" s="1">
        <v>12.598589721250001</v>
      </c>
      <c r="O55" s="1">
        <v>0</v>
      </c>
      <c r="P55" s="1">
        <v>33.304487146500001</v>
      </c>
      <c r="Q55" s="1">
        <v>5.90814098275</v>
      </c>
      <c r="R55" s="1">
        <v>336.10256410649998</v>
      </c>
      <c r="S55" s="1">
        <v>0.40083333725000003</v>
      </c>
      <c r="T55" s="1">
        <v>2.0075000199999997</v>
      </c>
      <c r="U55" s="1">
        <v>254.16416669074999</v>
      </c>
      <c r="V55" s="1">
        <v>0.34583333324999999</v>
      </c>
      <c r="W55" s="1">
        <v>0.3175</v>
      </c>
    </row>
    <row r="56" spans="1:23">
      <c r="A56" t="s">
        <v>98</v>
      </c>
      <c r="B56" s="1">
        <v>288.125</v>
      </c>
      <c r="C56" s="1">
        <v>66.57730770725</v>
      </c>
      <c r="D56" s="1">
        <v>32.142857143000001</v>
      </c>
      <c r="E56" s="1">
        <v>0</v>
      </c>
      <c r="F56" s="1">
        <v>7.9145878949999995</v>
      </c>
      <c r="G56" s="1">
        <v>9.0692673932500014</v>
      </c>
      <c r="H56" s="1">
        <v>0</v>
      </c>
      <c r="I56" s="1">
        <v>1013.3518650755001</v>
      </c>
      <c r="J56" s="1">
        <v>45.794288780000002</v>
      </c>
      <c r="K56" s="1">
        <v>24.081065319500002</v>
      </c>
      <c r="L56" s="1">
        <v>17.208928555</v>
      </c>
      <c r="M56" s="1">
        <v>0</v>
      </c>
      <c r="N56" s="1">
        <v>59.262692286750003</v>
      </c>
      <c r="O56" s="1">
        <v>0</v>
      </c>
      <c r="P56" s="1">
        <v>167.6191391795</v>
      </c>
      <c r="Q56" s="1">
        <v>12.768397423249999</v>
      </c>
      <c r="R56" s="1">
        <v>641.59597075450006</v>
      </c>
      <c r="S56" s="1">
        <v>8.3333324999999999E-4</v>
      </c>
      <c r="T56" s="1">
        <v>7.4999999999999997E-3</v>
      </c>
      <c r="U56" s="1">
        <v>0.16416666675</v>
      </c>
      <c r="V56" s="1">
        <v>0.34583333324999999</v>
      </c>
      <c r="W56" s="1">
        <v>11.031785709999999</v>
      </c>
    </row>
    <row r="57" spans="1:23">
      <c r="A57" t="s">
        <v>99</v>
      </c>
      <c r="B57" s="1">
        <v>318.125</v>
      </c>
      <c r="C57" s="1">
        <v>72.845256400250008</v>
      </c>
      <c r="D57" s="1">
        <v>45.357142879999998</v>
      </c>
      <c r="E57" s="1">
        <v>0</v>
      </c>
      <c r="F57" s="1">
        <v>8.8816208529999994</v>
      </c>
      <c r="G57" s="1">
        <v>15.05827837625</v>
      </c>
      <c r="H57" s="1">
        <v>0</v>
      </c>
      <c r="I57" s="1">
        <v>590.77250000000004</v>
      </c>
      <c r="J57" s="1">
        <v>140.36596153074998</v>
      </c>
      <c r="K57" s="1">
        <v>22.730576943999999</v>
      </c>
      <c r="L57" s="1">
        <v>50.137500000000003</v>
      </c>
      <c r="M57" s="1">
        <v>50</v>
      </c>
      <c r="N57" s="1">
        <v>12.944743567750001</v>
      </c>
      <c r="O57" s="1">
        <v>0</v>
      </c>
      <c r="P57" s="1">
        <v>35.612179453500005</v>
      </c>
      <c r="Q57" s="1">
        <v>6.02352559825</v>
      </c>
      <c r="R57" s="1">
        <v>348.5641025685</v>
      </c>
      <c r="S57" s="1">
        <v>0.40083333725000003</v>
      </c>
      <c r="T57" s="1">
        <v>2.0075000199999997</v>
      </c>
      <c r="U57" s="1">
        <v>254.16416669074999</v>
      </c>
      <c r="V57" s="1">
        <v>0.34583333324999999</v>
      </c>
      <c r="W57" s="1">
        <v>0.3175</v>
      </c>
    </row>
    <row r="58" spans="1:23">
      <c r="A58" t="s">
        <v>100</v>
      </c>
      <c r="B58" s="1">
        <v>291.125</v>
      </c>
      <c r="C58" s="1">
        <v>66.57730770725</v>
      </c>
      <c r="D58" s="1">
        <v>23.928571422999998</v>
      </c>
      <c r="E58" s="1">
        <v>0</v>
      </c>
      <c r="F58" s="1">
        <v>11.128873609999999</v>
      </c>
      <c r="G58" s="1">
        <v>13.354981678249999</v>
      </c>
      <c r="H58" s="1">
        <v>0</v>
      </c>
      <c r="I58" s="1">
        <v>1014.4232936465</v>
      </c>
      <c r="J58" s="1">
        <v>49.222860209000004</v>
      </c>
      <c r="K58" s="1">
        <v>24.295351032500001</v>
      </c>
      <c r="L58" s="1">
        <v>20.423214267999999</v>
      </c>
      <c r="M58" s="1">
        <v>0</v>
      </c>
      <c r="N58" s="1">
        <v>59.262692286750003</v>
      </c>
      <c r="O58" s="1">
        <v>0</v>
      </c>
      <c r="P58" s="1">
        <v>174.04771060850001</v>
      </c>
      <c r="Q58" s="1">
        <v>12.918397423249999</v>
      </c>
      <c r="R58" s="1">
        <v>684.45311362450002</v>
      </c>
      <c r="S58" s="1">
        <v>8.3333324999999999E-4</v>
      </c>
      <c r="T58" s="1">
        <v>7.4999999999999997E-3</v>
      </c>
      <c r="U58" s="1">
        <v>0.16416666675</v>
      </c>
      <c r="V58" s="1">
        <v>0.34583333324999999</v>
      </c>
      <c r="W58" s="1">
        <v>13.174642852</v>
      </c>
    </row>
    <row r="59" spans="1:23">
      <c r="A59" t="s">
        <v>101</v>
      </c>
      <c r="B59" s="1">
        <v>312.125</v>
      </c>
      <c r="C59" s="1">
        <v>63.095256405249998</v>
      </c>
      <c r="D59" s="1">
        <v>43.92857145</v>
      </c>
      <c r="E59" s="1">
        <v>0</v>
      </c>
      <c r="F59" s="1">
        <v>6.738763713</v>
      </c>
      <c r="G59" s="1">
        <v>9.3439926662499992</v>
      </c>
      <c r="H59" s="1">
        <v>0</v>
      </c>
      <c r="I59" s="1">
        <v>590.77250000000004</v>
      </c>
      <c r="J59" s="1">
        <v>157.86596153574999</v>
      </c>
      <c r="K59" s="1">
        <v>9.2305769439999992</v>
      </c>
      <c r="L59" s="1">
        <v>56.137500000000003</v>
      </c>
      <c r="M59" s="1">
        <v>56</v>
      </c>
      <c r="N59" s="1">
        <v>14.944743562750002</v>
      </c>
      <c r="O59" s="1">
        <v>0</v>
      </c>
      <c r="P59" s="1">
        <v>39.112179448500001</v>
      </c>
      <c r="Q59" s="1">
        <v>6.5235255932499996</v>
      </c>
      <c r="R59" s="1">
        <v>374.0641025685</v>
      </c>
      <c r="S59" s="1">
        <v>0.40083333725000003</v>
      </c>
      <c r="T59" s="1">
        <v>2.0075000199999997</v>
      </c>
      <c r="U59" s="1">
        <v>254.16416669074999</v>
      </c>
      <c r="V59" s="1">
        <v>0.34583333324999999</v>
      </c>
      <c r="W59" s="1">
        <v>0.3175</v>
      </c>
    </row>
    <row r="60" spans="1:23">
      <c r="A60" t="s">
        <v>102</v>
      </c>
      <c r="B60" s="1">
        <v>276.125</v>
      </c>
      <c r="C60" s="1">
        <v>66.710641043250007</v>
      </c>
      <c r="D60" s="1">
        <v>19.642857133000003</v>
      </c>
      <c r="E60" s="1">
        <v>0</v>
      </c>
      <c r="F60" s="1">
        <v>13.628873609999999</v>
      </c>
      <c r="G60" s="1">
        <v>14.783553108249999</v>
      </c>
      <c r="H60" s="1">
        <v>0</v>
      </c>
      <c r="I60" s="1">
        <v>1007.9947222205001</v>
      </c>
      <c r="J60" s="1">
        <v>54.784764971000001</v>
      </c>
      <c r="K60" s="1">
        <v>8.8096367544999996</v>
      </c>
      <c r="L60" s="1">
        <v>21.137499989999998</v>
      </c>
      <c r="M60" s="1">
        <v>20</v>
      </c>
      <c r="N60" s="1">
        <v>60.329358950749999</v>
      </c>
      <c r="O60" s="1">
        <v>0</v>
      </c>
      <c r="P60" s="1">
        <v>137.34294869850001</v>
      </c>
      <c r="Q60" s="1">
        <v>12.285064087249999</v>
      </c>
      <c r="R60" s="1">
        <v>426.91025640450005</v>
      </c>
      <c r="S60" s="1">
        <v>8.3333324999999999E-4</v>
      </c>
      <c r="T60" s="1">
        <v>7.4999999999999997E-3</v>
      </c>
      <c r="U60" s="1">
        <v>0.16416666675</v>
      </c>
      <c r="V60" s="1">
        <v>0.34583333324999999</v>
      </c>
      <c r="W60" s="1">
        <v>0.3175</v>
      </c>
    </row>
    <row r="61" spans="1:23">
      <c r="A61" t="s">
        <v>103</v>
      </c>
      <c r="B61" s="1">
        <v>298.125</v>
      </c>
      <c r="C61" s="1">
        <v>58.697066364249999</v>
      </c>
      <c r="D61" s="1">
        <v>22.142857145000001</v>
      </c>
      <c r="E61" s="1">
        <v>0</v>
      </c>
      <c r="F61" s="1">
        <v>16.612390089000002</v>
      </c>
      <c r="G61" s="1">
        <v>15.635201462249999</v>
      </c>
      <c r="H61" s="1">
        <v>0</v>
      </c>
      <c r="I61" s="1">
        <v>590.77250000000004</v>
      </c>
      <c r="J61" s="1">
        <v>148.31392534275</v>
      </c>
      <c r="K61" s="1">
        <v>9.5111199269999993</v>
      </c>
      <c r="L61" s="1">
        <v>56.137500000000003</v>
      </c>
      <c r="M61" s="1">
        <v>56</v>
      </c>
      <c r="N61" s="1">
        <v>14.401757139750002</v>
      </c>
      <c r="O61" s="1">
        <v>0</v>
      </c>
      <c r="P61" s="1">
        <v>41.256975830499997</v>
      </c>
      <c r="Q61" s="1">
        <v>5.93076541825</v>
      </c>
      <c r="R61" s="1">
        <v>375.10482655049998</v>
      </c>
      <c r="S61" s="1">
        <v>0.31848039524999999</v>
      </c>
      <c r="T61" s="1">
        <v>1.59573531</v>
      </c>
      <c r="U61" s="1">
        <v>201.87004903875001</v>
      </c>
      <c r="V61" s="1">
        <v>0.34583333324999999</v>
      </c>
      <c r="W61" s="1">
        <v>0.3175</v>
      </c>
    </row>
    <row r="62" spans="1:23">
      <c r="A62" t="s">
        <v>104</v>
      </c>
      <c r="B62" s="1">
        <v>313.75</v>
      </c>
      <c r="C62" s="1">
        <v>81.680192325375003</v>
      </c>
      <c r="D62" s="1">
        <v>45.432142857999999</v>
      </c>
      <c r="E62" s="1">
        <v>0</v>
      </c>
      <c r="F62" s="1">
        <v>12.5189834915</v>
      </c>
      <c r="G62" s="1">
        <v>6.1159706972499999</v>
      </c>
      <c r="H62" s="1">
        <v>0</v>
      </c>
      <c r="I62" s="1">
        <v>1008.036388887125</v>
      </c>
      <c r="J62" s="1">
        <v>62.738290611875001</v>
      </c>
      <c r="K62" s="1">
        <v>8.7567521389999996</v>
      </c>
      <c r="L62" s="1">
        <v>29.220833323375</v>
      </c>
      <c r="M62" s="1">
        <v>28</v>
      </c>
      <c r="N62" s="1">
        <v>60.230641001875</v>
      </c>
      <c r="O62" s="1">
        <v>0</v>
      </c>
      <c r="P62" s="1">
        <v>136.99038459612501</v>
      </c>
      <c r="Q62" s="1">
        <v>12.25410254875</v>
      </c>
      <c r="R62" s="1">
        <v>422.75641025050004</v>
      </c>
      <c r="S62" s="1">
        <v>8.3333324999999999E-4</v>
      </c>
      <c r="T62" s="1">
        <v>7.4999999999999997E-3</v>
      </c>
      <c r="U62" s="1">
        <v>0.16416666675</v>
      </c>
      <c r="V62" s="1">
        <v>0.34583333324999999</v>
      </c>
      <c r="W62" s="1">
        <v>0.84250000000000003</v>
      </c>
    </row>
    <row r="63" spans="1:23">
      <c r="A63" t="s">
        <v>105</v>
      </c>
      <c r="B63" s="1">
        <v>330.875</v>
      </c>
      <c r="C63" s="1">
        <v>62.858076965750001</v>
      </c>
      <c r="D63" s="1">
        <v>31.071428580000003</v>
      </c>
      <c r="E63" s="1">
        <v>0</v>
      </c>
      <c r="F63" s="1">
        <v>14.123379097499999</v>
      </c>
      <c r="G63" s="1">
        <v>13.341245418249999</v>
      </c>
      <c r="H63" s="1">
        <v>0</v>
      </c>
      <c r="I63" s="1">
        <v>881.39750000000004</v>
      </c>
      <c r="J63" s="1">
        <v>130.95570517225002</v>
      </c>
      <c r="K63" s="1">
        <v>13.884423077499999</v>
      </c>
      <c r="L63" s="1">
        <v>28.137499999999999</v>
      </c>
      <c r="M63" s="1">
        <v>28</v>
      </c>
      <c r="N63" s="1">
        <v>17.931923034249998</v>
      </c>
      <c r="O63" s="1">
        <v>0</v>
      </c>
      <c r="P63" s="1">
        <v>41.137820467499992</v>
      </c>
      <c r="Q63" s="1">
        <v>4.7414743157499997</v>
      </c>
      <c r="R63" s="1">
        <v>504.60256410249997</v>
      </c>
      <c r="S63" s="1">
        <v>8.3333324999999999E-4</v>
      </c>
      <c r="T63" s="1">
        <v>7.4999999999999997E-3</v>
      </c>
      <c r="U63" s="1">
        <v>0.16416666675</v>
      </c>
      <c r="V63" s="1">
        <v>0.34583333324999999</v>
      </c>
      <c r="W63" s="1">
        <v>0.3175</v>
      </c>
    </row>
    <row r="64" spans="1:23">
      <c r="A64" t="s">
        <v>106</v>
      </c>
      <c r="B64" s="1">
        <v>321.375</v>
      </c>
      <c r="C64" s="1">
        <v>80.902948736249996</v>
      </c>
      <c r="D64" s="1">
        <v>33.571428567999995</v>
      </c>
      <c r="E64" s="1">
        <v>0</v>
      </c>
      <c r="F64" s="1">
        <v>14.469532943999999</v>
      </c>
      <c r="G64" s="1">
        <v>14.206630032249999</v>
      </c>
      <c r="H64" s="1">
        <v>0</v>
      </c>
      <c r="I64" s="1">
        <v>1298.6197222205001</v>
      </c>
      <c r="J64" s="1">
        <v>61.630918815999998</v>
      </c>
      <c r="K64" s="1">
        <v>8.1173290614999996</v>
      </c>
      <c r="L64" s="1">
        <v>29.137499989999998</v>
      </c>
      <c r="M64" s="1">
        <v>28</v>
      </c>
      <c r="N64" s="1">
        <v>59.637051257749995</v>
      </c>
      <c r="O64" s="1">
        <v>0</v>
      </c>
      <c r="P64" s="1">
        <v>132.72756408450002</v>
      </c>
      <c r="Q64" s="1">
        <v>12.054294856249999</v>
      </c>
      <c r="R64" s="1">
        <v>401.9871794805</v>
      </c>
      <c r="S64" s="1">
        <v>8.3333324999999999E-4</v>
      </c>
      <c r="T64" s="1">
        <v>7.4999999999999997E-3</v>
      </c>
      <c r="U64" s="1">
        <v>0.16416666675</v>
      </c>
      <c r="V64" s="1">
        <v>0.34583333324999999</v>
      </c>
      <c r="W64" s="1">
        <v>0.3175</v>
      </c>
    </row>
    <row r="65" spans="1:23">
      <c r="A65" t="s">
        <v>107</v>
      </c>
      <c r="B65" s="1">
        <v>363</v>
      </c>
      <c r="C65" s="1">
        <v>63.893782089624999</v>
      </c>
      <c r="D65" s="1">
        <v>55.714285740000001</v>
      </c>
      <c r="E65" s="1">
        <v>0</v>
      </c>
      <c r="F65" s="1">
        <v>4.8254257989999996</v>
      </c>
      <c r="G65" s="1">
        <v>1.3478205106250001</v>
      </c>
      <c r="H65" s="1">
        <v>0</v>
      </c>
      <c r="I65" s="1">
        <v>881.32375000000002</v>
      </c>
      <c r="J65" s="1">
        <v>138.79355773474998</v>
      </c>
      <c r="K65" s="1">
        <v>13.769134617000001</v>
      </c>
      <c r="L65" s="1">
        <v>42.131250000000001</v>
      </c>
      <c r="M65" s="1">
        <v>42</v>
      </c>
      <c r="N65" s="1">
        <v>17.626217910375001</v>
      </c>
      <c r="O65" s="1">
        <v>0</v>
      </c>
      <c r="P65" s="1">
        <v>42.248397392249998</v>
      </c>
      <c r="Q65" s="1">
        <v>4.6463781656250003</v>
      </c>
      <c r="R65" s="1">
        <v>503.57051282225001</v>
      </c>
      <c r="S65" s="1">
        <v>4.1666662499999999E-4</v>
      </c>
      <c r="T65" s="1">
        <v>3.7499999999999999E-3</v>
      </c>
      <c r="U65" s="1">
        <v>8.2083333374999998E-2</v>
      </c>
      <c r="V65" s="1">
        <v>0.17291666662499999</v>
      </c>
      <c r="W65" s="1">
        <v>0.15875</v>
      </c>
    </row>
    <row r="66" spans="1:23">
      <c r="A66" t="s">
        <v>108</v>
      </c>
      <c r="B66" s="1">
        <v>348</v>
      </c>
      <c r="C66" s="1">
        <v>81.432243609625004</v>
      </c>
      <c r="D66" s="1">
        <v>46.582417589999999</v>
      </c>
      <c r="E66" s="1">
        <v>0</v>
      </c>
      <c r="F66" s="1">
        <v>6.9682829440000003</v>
      </c>
      <c r="G66" s="1">
        <v>9.9192490756250002</v>
      </c>
      <c r="H66" s="1">
        <v>0</v>
      </c>
      <c r="I66" s="1">
        <v>1298.4434081205</v>
      </c>
      <c r="J66" s="1">
        <v>75.404668815999997</v>
      </c>
      <c r="K66" s="1">
        <v>7.9635790614999999</v>
      </c>
      <c r="L66" s="1">
        <v>43.131249990000001</v>
      </c>
      <c r="M66" s="1">
        <v>42</v>
      </c>
      <c r="N66" s="1">
        <v>59.10314100037499</v>
      </c>
      <c r="O66" s="1">
        <v>0</v>
      </c>
      <c r="P66" s="1">
        <v>136.63301280224999</v>
      </c>
      <c r="Q66" s="1">
        <v>12.716634597624999</v>
      </c>
      <c r="R66" s="1">
        <v>398.00641025025004</v>
      </c>
      <c r="S66" s="1">
        <v>4.1666662499999999E-4</v>
      </c>
      <c r="T66" s="1">
        <v>3.7499999999999999E-3</v>
      </c>
      <c r="U66" s="1">
        <v>8.2083333374999998E-2</v>
      </c>
      <c r="V66" s="1">
        <v>0.17291666662499999</v>
      </c>
      <c r="W66" s="1">
        <v>0.15875</v>
      </c>
    </row>
    <row r="67" spans="1:23">
      <c r="A67" t="s">
        <v>109</v>
      </c>
      <c r="B67" s="1">
        <v>286</v>
      </c>
      <c r="C67" s="1">
        <v>62.000000040000003</v>
      </c>
      <c r="D67" s="1">
        <v>43.92857145</v>
      </c>
      <c r="E67" s="1">
        <v>0</v>
      </c>
      <c r="F67" s="1">
        <v>6.4285714049999996</v>
      </c>
      <c r="G67" s="1">
        <v>8.5714285649999997</v>
      </c>
      <c r="H67" s="1">
        <v>0</v>
      </c>
      <c r="I67" s="1">
        <v>1491.875</v>
      </c>
      <c r="J67" s="1">
        <v>114.87500003975001</v>
      </c>
      <c r="K67" s="1">
        <v>13</v>
      </c>
      <c r="L67" s="1">
        <v>14.125</v>
      </c>
      <c r="M67" s="1">
        <v>14</v>
      </c>
      <c r="N67" s="1">
        <v>15.99999996</v>
      </c>
      <c r="O67" s="1">
        <v>0</v>
      </c>
      <c r="P67" s="1">
        <v>30.99999996</v>
      </c>
      <c r="Q67" s="1">
        <v>3.9999999599999998</v>
      </c>
      <c r="R67" s="1">
        <v>459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</row>
    <row r="68" spans="1:23">
      <c r="A68" t="s">
        <v>110</v>
      </c>
      <c r="B68" s="1">
        <v>310.5</v>
      </c>
      <c r="C68" s="1">
        <v>84.538461560000002</v>
      </c>
      <c r="D68" s="1">
        <v>47.296703304999994</v>
      </c>
      <c r="E68" s="1">
        <v>0</v>
      </c>
      <c r="F68" s="1">
        <v>7.4999999749999997</v>
      </c>
      <c r="G68" s="1">
        <v>11.428571420000001</v>
      </c>
      <c r="H68" s="1">
        <v>0</v>
      </c>
      <c r="I68" s="1">
        <v>1643.0571581204999</v>
      </c>
      <c r="J68" s="1">
        <v>72.486111120999993</v>
      </c>
      <c r="K68" s="1">
        <v>8.1944444445000002</v>
      </c>
      <c r="L68" s="1">
        <v>29.124999989999999</v>
      </c>
      <c r="M68" s="1">
        <v>28</v>
      </c>
      <c r="N68" s="1">
        <v>57.476923049999996</v>
      </c>
      <c r="O68" s="1">
        <v>0</v>
      </c>
      <c r="P68" s="1">
        <v>128.38461537000001</v>
      </c>
      <c r="Q68" s="1">
        <v>12.070256391999999</v>
      </c>
      <c r="R68" s="1">
        <v>368.43589742800003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</row>
    <row r="69" spans="1:23">
      <c r="A69" t="s">
        <v>111</v>
      </c>
      <c r="B69" s="1">
        <v>309.75</v>
      </c>
      <c r="C69" s="1">
        <v>60</v>
      </c>
      <c r="D69" s="1">
        <v>43.92857145</v>
      </c>
      <c r="E69" s="1">
        <v>0</v>
      </c>
      <c r="F69" s="1">
        <v>6.4285714049999996</v>
      </c>
      <c r="G69" s="1">
        <v>8.5714285649999997</v>
      </c>
      <c r="H69" s="1">
        <v>0</v>
      </c>
      <c r="I69" s="1">
        <v>910.625</v>
      </c>
      <c r="J69" s="1">
        <v>136.54166670975002</v>
      </c>
      <c r="K69" s="1">
        <v>18.333333289999999</v>
      </c>
      <c r="L69" s="1">
        <v>28.125</v>
      </c>
      <c r="M69" s="1">
        <v>28</v>
      </c>
      <c r="N69" s="1">
        <v>13</v>
      </c>
      <c r="O69" s="1">
        <v>0</v>
      </c>
      <c r="P69" s="1">
        <v>3</v>
      </c>
      <c r="Q69" s="1">
        <v>3.12</v>
      </c>
      <c r="R69" s="1">
        <v>15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</row>
    <row r="70" spans="1:23">
      <c r="A70" t="s">
        <v>112</v>
      </c>
      <c r="B70" s="1">
        <v>304.75</v>
      </c>
      <c r="C70" s="1">
        <v>69.038461549999994</v>
      </c>
      <c r="D70" s="1">
        <v>45.796703304999994</v>
      </c>
      <c r="E70" s="1">
        <v>0</v>
      </c>
      <c r="F70" s="1">
        <v>7.4999999749999997</v>
      </c>
      <c r="G70" s="1">
        <v>11.428571420000001</v>
      </c>
      <c r="H70" s="1">
        <v>0</v>
      </c>
      <c r="I70" s="1">
        <v>1137.0779914625</v>
      </c>
      <c r="J70" s="1">
        <v>105.48611114099999</v>
      </c>
      <c r="K70" s="1">
        <v>13.194444414499999</v>
      </c>
      <c r="L70" s="1">
        <v>28.125</v>
      </c>
      <c r="M70" s="1">
        <v>28</v>
      </c>
      <c r="N70" s="1">
        <v>32.076923069999999</v>
      </c>
      <c r="O70" s="1">
        <v>0</v>
      </c>
      <c r="P70" s="1">
        <v>58.38461538</v>
      </c>
      <c r="Q70" s="1">
        <v>10.23692307</v>
      </c>
      <c r="R70" s="1">
        <v>20.769230759999999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</row>
    <row r="71" spans="1:23">
      <c r="A71" t="s">
        <v>113</v>
      </c>
      <c r="B71" s="1">
        <v>291.125</v>
      </c>
      <c r="C71" s="1">
        <v>63.500000010000001</v>
      </c>
      <c r="D71" s="1">
        <v>33.142857147999997</v>
      </c>
      <c r="E71" s="1">
        <v>0</v>
      </c>
      <c r="F71" s="1">
        <v>8.5714285500000003</v>
      </c>
      <c r="G71" s="1">
        <v>17.142857129999999</v>
      </c>
      <c r="H71" s="1">
        <v>0</v>
      </c>
      <c r="I71" s="1">
        <v>625.22222223049994</v>
      </c>
      <c r="J71" s="1">
        <v>102.11944447449999</v>
      </c>
      <c r="K71" s="1">
        <v>12.5944444145</v>
      </c>
      <c r="L71" s="1">
        <v>30.125</v>
      </c>
      <c r="M71" s="1">
        <v>30</v>
      </c>
      <c r="N71" s="1">
        <v>28.999999994</v>
      </c>
      <c r="O71" s="1">
        <v>0</v>
      </c>
      <c r="P71" s="1">
        <v>49.199999996000003</v>
      </c>
      <c r="Q71" s="1">
        <v>9.1599999939999996</v>
      </c>
      <c r="R71" s="1">
        <v>10.999999991999999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</row>
    <row r="72" spans="1:23">
      <c r="A72" t="s">
        <v>114</v>
      </c>
      <c r="B72" s="1">
        <v>291.125</v>
      </c>
      <c r="C72" s="1">
        <v>63.500000010000001</v>
      </c>
      <c r="D72" s="1">
        <v>33.142857147999997</v>
      </c>
      <c r="E72" s="1">
        <v>0</v>
      </c>
      <c r="F72" s="1">
        <v>8.5714285500000003</v>
      </c>
      <c r="G72" s="1">
        <v>17.142857129999999</v>
      </c>
      <c r="H72" s="1">
        <v>0</v>
      </c>
      <c r="I72" s="1">
        <v>845.22222222050004</v>
      </c>
      <c r="J72" s="1">
        <v>79.119444464499992</v>
      </c>
      <c r="K72" s="1">
        <v>8.5944444245000007</v>
      </c>
      <c r="L72" s="1">
        <v>30.125</v>
      </c>
      <c r="M72" s="1">
        <v>30</v>
      </c>
      <c r="N72" s="1">
        <v>52.999999994</v>
      </c>
      <c r="O72" s="1">
        <v>0</v>
      </c>
      <c r="P72" s="1">
        <v>49.199999996000003</v>
      </c>
      <c r="Q72" s="1">
        <v>10.740000003999999</v>
      </c>
      <c r="R72" s="1">
        <v>35.999999981999999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</row>
    <row r="73" spans="1:23">
      <c r="A73" t="s">
        <v>115</v>
      </c>
      <c r="B73" s="1">
        <v>246.625</v>
      </c>
      <c r="C73" s="1">
        <v>63.000000010000001</v>
      </c>
      <c r="D73" s="1">
        <v>21.407142856</v>
      </c>
      <c r="E73" s="1">
        <v>0</v>
      </c>
      <c r="F73" s="1">
        <v>7.1428571279999993</v>
      </c>
      <c r="G73" s="1">
        <v>15.999999987999999</v>
      </c>
      <c r="H73" s="1">
        <v>0</v>
      </c>
      <c r="I73" s="1">
        <v>848.79365079050001</v>
      </c>
      <c r="J73" s="1">
        <v>44.914682550999999</v>
      </c>
      <c r="K73" s="1">
        <v>8.4087301445000016</v>
      </c>
      <c r="L73" s="1">
        <v>11.872619032999999</v>
      </c>
      <c r="M73" s="1">
        <v>0</v>
      </c>
      <c r="N73" s="1">
        <v>57.233333317000003</v>
      </c>
      <c r="O73" s="1">
        <v>0</v>
      </c>
      <c r="P73" s="1">
        <v>132.62857142600001</v>
      </c>
      <c r="Q73" s="1">
        <v>11.553333326999999</v>
      </c>
      <c r="R73" s="1">
        <v>385.52380955900003</v>
      </c>
      <c r="S73" s="1">
        <v>0</v>
      </c>
      <c r="T73" s="1">
        <v>0</v>
      </c>
      <c r="U73" s="1">
        <v>0</v>
      </c>
      <c r="V73" s="1">
        <v>0</v>
      </c>
      <c r="W73" s="1">
        <v>7.1428571399999994</v>
      </c>
    </row>
    <row r="74" spans="1:23">
      <c r="A74" t="s">
        <v>116</v>
      </c>
      <c r="B74" s="1">
        <v>269.375</v>
      </c>
      <c r="C74" s="1">
        <v>45.818181807999999</v>
      </c>
      <c r="D74" s="1">
        <v>12.727272712000001</v>
      </c>
      <c r="E74" s="1">
        <v>0</v>
      </c>
      <c r="F74" s="1">
        <v>15.272727287999999</v>
      </c>
      <c r="G74" s="1">
        <v>15.272727287999999</v>
      </c>
      <c r="H74" s="1">
        <v>0</v>
      </c>
      <c r="I74" s="1">
        <v>943.51948052199998</v>
      </c>
      <c r="J74" s="1">
        <v>116.66309528050002</v>
      </c>
      <c r="K74" s="1">
        <v>17.685714237999999</v>
      </c>
      <c r="L74" s="1">
        <v>19.410714278</v>
      </c>
      <c r="M74" s="1">
        <v>0</v>
      </c>
      <c r="N74" s="1">
        <v>12</v>
      </c>
      <c r="O74" s="1">
        <v>0</v>
      </c>
      <c r="P74" s="1">
        <v>39.771428574000005</v>
      </c>
      <c r="Q74" s="1">
        <v>3.78</v>
      </c>
      <c r="R74" s="1">
        <v>263.14285722</v>
      </c>
      <c r="S74" s="1">
        <v>0</v>
      </c>
      <c r="T74" s="1">
        <v>0</v>
      </c>
      <c r="U74" s="1">
        <v>0</v>
      </c>
      <c r="V74" s="1">
        <v>0</v>
      </c>
      <c r="W74" s="1">
        <v>12.857142851999999</v>
      </c>
    </row>
    <row r="75" spans="1:23">
      <c r="A75" t="s">
        <v>117</v>
      </c>
      <c r="B75" s="1">
        <v>265.375</v>
      </c>
      <c r="C75" s="1">
        <v>49.318181817999999</v>
      </c>
      <c r="D75" s="1">
        <v>13.727272700000002</v>
      </c>
      <c r="E75" s="1">
        <v>0</v>
      </c>
      <c r="F75" s="1">
        <v>15.272727287999999</v>
      </c>
      <c r="G75" s="1">
        <v>15.272727287999999</v>
      </c>
      <c r="H75" s="1">
        <v>0</v>
      </c>
      <c r="I75" s="1">
        <v>1353.5194805199999</v>
      </c>
      <c r="J75" s="1">
        <v>70.6630952605</v>
      </c>
      <c r="K75" s="1">
        <v>9.6857142580000009</v>
      </c>
      <c r="L75" s="1">
        <v>19.410714278</v>
      </c>
      <c r="M75" s="1">
        <v>0</v>
      </c>
      <c r="N75" s="1">
        <v>52.999999994</v>
      </c>
      <c r="O75" s="1">
        <v>0</v>
      </c>
      <c r="P75" s="1">
        <v>87.771428570000012</v>
      </c>
      <c r="Q75" s="1">
        <v>11.640000003999999</v>
      </c>
      <c r="R75" s="1">
        <v>293.14285720200002</v>
      </c>
      <c r="S75" s="1">
        <v>0</v>
      </c>
      <c r="T75" s="1">
        <v>0</v>
      </c>
      <c r="U75" s="1">
        <v>0</v>
      </c>
      <c r="V75" s="1">
        <v>0</v>
      </c>
      <c r="W75" s="1">
        <v>12.857142851999999</v>
      </c>
    </row>
    <row r="76" spans="1:23">
      <c r="A76" t="s">
        <v>118</v>
      </c>
      <c r="B76" s="1">
        <v>294.5</v>
      </c>
      <c r="C76" s="1">
        <v>62.250000012000001</v>
      </c>
      <c r="D76" s="1">
        <v>29.642857157000002</v>
      </c>
      <c r="E76" s="1">
        <v>0</v>
      </c>
      <c r="F76" s="1">
        <v>6.2142856989999995</v>
      </c>
      <c r="G76" s="1">
        <v>11.071428560999999</v>
      </c>
      <c r="H76" s="1">
        <v>0</v>
      </c>
      <c r="I76" s="1">
        <v>1938.0396825272501</v>
      </c>
      <c r="J76" s="1">
        <v>98.260317482749997</v>
      </c>
      <c r="K76" s="1">
        <v>16.282936503249999</v>
      </c>
      <c r="L76" s="1">
        <v>20.410714268</v>
      </c>
      <c r="M76" s="1">
        <v>0</v>
      </c>
      <c r="N76" s="1">
        <v>42.999999977999998</v>
      </c>
      <c r="O76" s="1">
        <v>0</v>
      </c>
      <c r="P76" s="1">
        <v>142.27142855300002</v>
      </c>
      <c r="Q76" s="1">
        <v>6.6999999859999999</v>
      </c>
      <c r="R76" s="1">
        <v>822.64285722399995</v>
      </c>
      <c r="S76" s="1">
        <v>0</v>
      </c>
      <c r="T76" s="1">
        <v>0</v>
      </c>
      <c r="U76" s="1">
        <v>0</v>
      </c>
      <c r="V76" s="1">
        <v>0</v>
      </c>
      <c r="W76" s="1">
        <v>12.857142851999999</v>
      </c>
    </row>
    <row r="77" spans="1:23">
      <c r="A77" t="s">
        <v>119</v>
      </c>
      <c r="B77" s="1">
        <v>252.625</v>
      </c>
      <c r="C77" s="1">
        <v>53</v>
      </c>
      <c r="D77" s="1">
        <v>29.571428587</v>
      </c>
      <c r="E77" s="1">
        <v>0</v>
      </c>
      <c r="F77" s="1">
        <v>7.3571428379999997</v>
      </c>
      <c r="G77" s="1">
        <v>14.285714275</v>
      </c>
      <c r="H77" s="1">
        <v>0</v>
      </c>
      <c r="I77" s="1">
        <v>722.23611111125001</v>
      </c>
      <c r="J77" s="1">
        <v>173.76031749275</v>
      </c>
      <c r="K77" s="1">
        <v>0.49722222225000001</v>
      </c>
      <c r="L77" s="1">
        <v>80.125</v>
      </c>
      <c r="M77" s="1">
        <v>80</v>
      </c>
      <c r="N77" s="1">
        <v>8.142857094</v>
      </c>
      <c r="O77" s="1">
        <v>0</v>
      </c>
      <c r="P77" s="1">
        <v>1.2</v>
      </c>
      <c r="Q77" s="1">
        <v>5.2928570940000004</v>
      </c>
      <c r="R77" s="1">
        <v>128.14285709399999</v>
      </c>
      <c r="S77" s="1">
        <v>1.017857094</v>
      </c>
      <c r="T77" s="1">
        <v>7.735714301999999</v>
      </c>
      <c r="U77" s="1">
        <v>325.71428569799997</v>
      </c>
      <c r="V77" s="1">
        <v>0</v>
      </c>
      <c r="W77" s="1">
        <v>0</v>
      </c>
    </row>
    <row r="78" spans="1:23">
      <c r="A78" t="s">
        <v>120</v>
      </c>
      <c r="B78" s="1">
        <v>275.25</v>
      </c>
      <c r="C78" s="1">
        <v>68.518333326250001</v>
      </c>
      <c r="D78" s="1">
        <v>32.900000005999999</v>
      </c>
      <c r="E78" s="1">
        <v>0</v>
      </c>
      <c r="F78" s="1">
        <v>9.0024999949999991</v>
      </c>
      <c r="G78" s="1">
        <v>8.5033333352499998</v>
      </c>
      <c r="H78" s="1">
        <v>0</v>
      </c>
      <c r="I78" s="1">
        <v>1234.7724999920001</v>
      </c>
      <c r="J78" s="1">
        <v>51.877500016999996</v>
      </c>
      <c r="K78" s="1">
        <v>12.874166656999998</v>
      </c>
      <c r="L78" s="1">
        <v>1.404166654</v>
      </c>
      <c r="M78" s="1">
        <v>0</v>
      </c>
      <c r="N78" s="1">
        <v>42.688333323749994</v>
      </c>
      <c r="O78" s="1">
        <v>0</v>
      </c>
      <c r="P78" s="1">
        <v>105.05833332649999</v>
      </c>
      <c r="Q78" s="1">
        <v>5.6944999982500004</v>
      </c>
      <c r="R78" s="1">
        <v>399.66666667250001</v>
      </c>
      <c r="S78" s="1">
        <v>8.3333324999999999E-4</v>
      </c>
      <c r="T78" s="1">
        <v>7.4999999999999997E-3</v>
      </c>
      <c r="U78" s="1">
        <v>0.16416666675</v>
      </c>
      <c r="V78" s="1">
        <v>0.34583333324999999</v>
      </c>
      <c r="W78" s="1">
        <v>0.3175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23D8-164A-4243-A01A-EEDD7B8C1728}">
  <dimension ref="A1:W78"/>
  <sheetViews>
    <sheetView workbookViewId="0">
      <selection activeCell="D24" sqref="D24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210</v>
      </c>
      <c r="B2" cm="1">
        <f t="array" ref="B2:W75">MMULT(RecXIngred!B5:BK78, IngredXNut!B2:W63)/3</f>
        <v>90</v>
      </c>
      <c r="C2">
        <v>25.019230775</v>
      </c>
      <c r="D2">
        <v>7.6751373580000006</v>
      </c>
      <c r="E2">
        <v>0</v>
      </c>
      <c r="F2">
        <v>1.14285714</v>
      </c>
      <c r="G2">
        <v>2.285714284</v>
      </c>
      <c r="H2">
        <v>0</v>
      </c>
      <c r="I2">
        <v>307.69408832375001</v>
      </c>
      <c r="J2">
        <v>24.4976851885</v>
      </c>
      <c r="K2">
        <v>6.5115740707500001</v>
      </c>
      <c r="L2">
        <v>11.916666666666666</v>
      </c>
      <c r="M2">
        <v>10</v>
      </c>
      <c r="N2">
        <v>20.038461535</v>
      </c>
      <c r="O2">
        <v>0</v>
      </c>
      <c r="P2">
        <v>44.56730769</v>
      </c>
      <c r="Q2">
        <v>5.4759615349999997</v>
      </c>
      <c r="R2">
        <v>198.02211537666668</v>
      </c>
      <c r="S2">
        <v>6.6666669999999997E-2</v>
      </c>
      <c r="T2">
        <v>0.6</v>
      </c>
      <c r="U2">
        <v>30</v>
      </c>
      <c r="V2">
        <v>0</v>
      </c>
      <c r="W2">
        <v>0</v>
      </c>
    </row>
    <row r="3" spans="1:23">
      <c r="A3" t="s">
        <v>208</v>
      </c>
      <c r="B3">
        <v>90</v>
      </c>
      <c r="C3">
        <v>23</v>
      </c>
      <c r="D3">
        <v>7.0982142880000003</v>
      </c>
      <c r="E3">
        <v>0</v>
      </c>
      <c r="F3">
        <v>1.14285714</v>
      </c>
      <c r="G3">
        <v>2.285714284</v>
      </c>
      <c r="H3">
        <v>0</v>
      </c>
      <c r="I3">
        <v>308.07870369874996</v>
      </c>
      <c r="J3">
        <v>24.4976851885</v>
      </c>
      <c r="K3">
        <v>6.5115740707500001</v>
      </c>
      <c r="L3">
        <v>11.916666666666666</v>
      </c>
      <c r="M3">
        <v>10</v>
      </c>
      <c r="N3">
        <v>22</v>
      </c>
      <c r="O3">
        <v>0</v>
      </c>
      <c r="P3">
        <v>16.875</v>
      </c>
      <c r="Q3">
        <v>2.5875000049999999</v>
      </c>
      <c r="R3">
        <v>207.63749999166666</v>
      </c>
      <c r="S3">
        <v>6.6666669999999997E-2</v>
      </c>
      <c r="T3">
        <v>0.6</v>
      </c>
      <c r="U3">
        <v>30</v>
      </c>
      <c r="V3">
        <v>0</v>
      </c>
      <c r="W3">
        <v>0</v>
      </c>
    </row>
    <row r="4" spans="1:23">
      <c r="A4" t="s">
        <v>209</v>
      </c>
      <c r="B4">
        <v>90</v>
      </c>
      <c r="C4">
        <v>23</v>
      </c>
      <c r="D4">
        <v>7.0982142880000003</v>
      </c>
      <c r="E4">
        <v>0</v>
      </c>
      <c r="F4">
        <v>1.14285714</v>
      </c>
      <c r="G4">
        <v>2.285714284</v>
      </c>
      <c r="H4">
        <v>0</v>
      </c>
      <c r="I4">
        <v>198.07870370374999</v>
      </c>
      <c r="J4">
        <v>24.4976851885</v>
      </c>
      <c r="K4">
        <v>6.5115740707500001</v>
      </c>
      <c r="L4">
        <v>11.916666666666666</v>
      </c>
      <c r="M4">
        <v>10</v>
      </c>
      <c r="N4">
        <v>20.5</v>
      </c>
      <c r="O4">
        <v>0</v>
      </c>
      <c r="P4">
        <v>22.875</v>
      </c>
      <c r="Q4">
        <v>2.3374999999999999</v>
      </c>
      <c r="R4">
        <v>195.13749999666666</v>
      </c>
      <c r="S4">
        <v>6.6666669999999997E-2</v>
      </c>
      <c r="T4">
        <v>0.6</v>
      </c>
      <c r="U4">
        <v>30</v>
      </c>
      <c r="V4">
        <v>0</v>
      </c>
      <c r="W4">
        <v>0</v>
      </c>
    </row>
    <row r="5" spans="1:23">
      <c r="A5" t="s">
        <v>158</v>
      </c>
      <c r="B5" s="2">
        <v>72.375</v>
      </c>
      <c r="C5" s="2">
        <v>12</v>
      </c>
      <c r="D5" s="2">
        <v>2.25</v>
      </c>
      <c r="E5" s="2">
        <v>0</v>
      </c>
      <c r="F5" s="2">
        <v>0</v>
      </c>
      <c r="G5" s="2">
        <v>0</v>
      </c>
      <c r="H5" s="2">
        <v>0</v>
      </c>
      <c r="I5" s="2">
        <v>179.59490740750002</v>
      </c>
      <c r="J5" s="2">
        <v>21.062037040583334</v>
      </c>
      <c r="K5" s="2">
        <v>6.0037037001666667</v>
      </c>
      <c r="L5" s="2">
        <v>8.875</v>
      </c>
      <c r="M5" s="2">
        <v>7.333333333333333</v>
      </c>
      <c r="N5" s="2">
        <v>19.066666666666666</v>
      </c>
      <c r="O5" s="2">
        <v>0</v>
      </c>
      <c r="P5" s="2">
        <v>19.5</v>
      </c>
      <c r="Q5" s="2">
        <v>2.1833333333333331</v>
      </c>
      <c r="R5" s="2">
        <v>157.45222221866666</v>
      </c>
      <c r="S5" s="2">
        <v>7.1111114666666669E-2</v>
      </c>
      <c r="T5" s="2">
        <v>0.64</v>
      </c>
      <c r="U5" s="2">
        <v>32</v>
      </c>
      <c r="V5" s="2">
        <v>0</v>
      </c>
      <c r="W5" s="2">
        <v>0</v>
      </c>
    </row>
    <row r="6" spans="1:23">
      <c r="A6" t="s">
        <v>157</v>
      </c>
      <c r="B6" s="2">
        <v>51.791666666666664</v>
      </c>
      <c r="C6" s="2">
        <v>12.743589746666666</v>
      </c>
      <c r="D6" s="2">
        <v>8.5219780223333341</v>
      </c>
      <c r="E6" s="2">
        <v>0</v>
      </c>
      <c r="F6" s="2">
        <v>1.3095238049999998</v>
      </c>
      <c r="G6" s="2">
        <v>1.9047619033333334</v>
      </c>
      <c r="H6" s="2">
        <v>0</v>
      </c>
      <c r="I6" s="2">
        <v>159.30644587150002</v>
      </c>
      <c r="J6" s="2">
        <v>11.8842592615</v>
      </c>
      <c r="K6" s="2">
        <v>2.2870370348333333</v>
      </c>
      <c r="L6" s="2">
        <v>6.708333333333333</v>
      </c>
      <c r="M6" s="2">
        <v>6.666666666666667</v>
      </c>
      <c r="N6" s="2">
        <v>11.087179485333332</v>
      </c>
      <c r="O6" s="2">
        <v>0</v>
      </c>
      <c r="P6" s="2">
        <v>16.902564101333333</v>
      </c>
      <c r="Q6" s="2">
        <v>2.8071794853333336</v>
      </c>
      <c r="R6" s="2">
        <v>5.5606837560000004</v>
      </c>
      <c r="S6" s="2">
        <v>4.4444446666666665E-2</v>
      </c>
      <c r="T6" s="2">
        <v>0.39999999999999997</v>
      </c>
      <c r="U6" s="2">
        <v>20</v>
      </c>
      <c r="V6" s="2">
        <v>0</v>
      </c>
      <c r="W6" s="2">
        <v>0</v>
      </c>
    </row>
    <row r="7" spans="1:23">
      <c r="A7" t="s">
        <v>156</v>
      </c>
      <c r="B7" s="2">
        <v>103.375</v>
      </c>
      <c r="C7" s="2">
        <v>26.701388888874998</v>
      </c>
      <c r="D7" s="2">
        <v>16.786904770000003</v>
      </c>
      <c r="E7" s="2">
        <v>0</v>
      </c>
      <c r="F7" s="2">
        <v>2.6190476099999995</v>
      </c>
      <c r="G7" s="2">
        <v>3.8095238066666668</v>
      </c>
      <c r="H7" s="2">
        <v>0</v>
      </c>
      <c r="I7" s="2">
        <v>199.296296296375</v>
      </c>
      <c r="J7" s="2">
        <v>17.918981484291667</v>
      </c>
      <c r="K7" s="2">
        <v>1.0300925898333333</v>
      </c>
      <c r="L7" s="2">
        <v>10.333333331124999</v>
      </c>
      <c r="M7" s="2">
        <v>10</v>
      </c>
      <c r="N7" s="2">
        <v>22.394444442208336</v>
      </c>
      <c r="O7" s="2">
        <v>0</v>
      </c>
      <c r="P7" s="2">
        <v>23.472222222208334</v>
      </c>
      <c r="Q7" s="2">
        <v>2.1413888866666668</v>
      </c>
      <c r="R7" s="2">
        <v>44.472222221666669</v>
      </c>
      <c r="S7" s="2">
        <v>5.5555558333333338E-2</v>
      </c>
      <c r="T7" s="2">
        <v>0.5</v>
      </c>
      <c r="U7" s="2">
        <v>25</v>
      </c>
      <c r="V7" s="2">
        <v>0</v>
      </c>
      <c r="W7" s="2">
        <v>0.17500000000000002</v>
      </c>
    </row>
    <row r="8" spans="1:23">
      <c r="A8" t="s">
        <v>155</v>
      </c>
      <c r="B8" s="2">
        <v>109</v>
      </c>
      <c r="C8" s="2">
        <v>29.903846158333334</v>
      </c>
      <c r="D8" s="2">
        <v>14.758241759999999</v>
      </c>
      <c r="E8" s="2">
        <v>0</v>
      </c>
      <c r="F8" s="2">
        <v>3.0952380866666664</v>
      </c>
      <c r="G8" s="2">
        <v>5.7142857099999995</v>
      </c>
      <c r="H8" s="2">
        <v>0</v>
      </c>
      <c r="I8" s="2">
        <v>284.53881766750004</v>
      </c>
      <c r="J8" s="2">
        <v>15.2592592615</v>
      </c>
      <c r="K8" s="2">
        <v>4.6203703681666672</v>
      </c>
      <c r="L8" s="2">
        <v>8.4166666633333325</v>
      </c>
      <c r="M8" s="2">
        <v>8</v>
      </c>
      <c r="N8" s="2">
        <v>21.307692301666666</v>
      </c>
      <c r="O8" s="2">
        <v>0</v>
      </c>
      <c r="P8" s="2">
        <v>46.205128203333338</v>
      </c>
      <c r="Q8" s="2">
        <v>4.5076923016666663</v>
      </c>
      <c r="R8" s="2">
        <v>75.599145296666677</v>
      </c>
      <c r="S8" s="2">
        <v>4.4444446666666665E-2</v>
      </c>
      <c r="T8" s="2">
        <v>0.39999999999999997</v>
      </c>
      <c r="U8" s="2">
        <v>20</v>
      </c>
      <c r="V8" s="2">
        <v>0</v>
      </c>
      <c r="W8" s="2">
        <v>0</v>
      </c>
    </row>
    <row r="9" spans="1:23">
      <c r="A9" t="s">
        <v>154</v>
      </c>
      <c r="B9" s="2">
        <v>108.29166666666667</v>
      </c>
      <c r="C9" s="2">
        <v>28.280356653875</v>
      </c>
      <c r="D9" s="2">
        <v>19.781552383333334</v>
      </c>
      <c r="E9" s="2">
        <v>0</v>
      </c>
      <c r="F9" s="2">
        <v>1.05</v>
      </c>
      <c r="G9" s="2">
        <v>1.9833333333333334</v>
      </c>
      <c r="H9" s="2">
        <v>0</v>
      </c>
      <c r="I9" s="2">
        <v>399.02029914887498</v>
      </c>
      <c r="J9" s="2">
        <v>17.812336597791667</v>
      </c>
      <c r="K9" s="2">
        <v>1.1482843166666667</v>
      </c>
      <c r="L9" s="2">
        <v>8.4305555527916667</v>
      </c>
      <c r="M9" s="2">
        <v>8</v>
      </c>
      <c r="N9" s="2">
        <v>22.473378575541663</v>
      </c>
      <c r="O9" s="2">
        <v>0</v>
      </c>
      <c r="P9" s="2">
        <v>45.442056305541662</v>
      </c>
      <c r="Q9" s="2">
        <v>4.8095387033333337</v>
      </c>
      <c r="R9" s="2">
        <v>74.857968828333341</v>
      </c>
      <c r="S9" s="2">
        <v>5.8823529999999992E-2</v>
      </c>
      <c r="T9" s="2">
        <v>0.29411765000000001</v>
      </c>
      <c r="U9" s="2">
        <v>37.352941180000002</v>
      </c>
      <c r="V9" s="2">
        <v>0</v>
      </c>
      <c r="W9" s="2">
        <v>0.17500000000000002</v>
      </c>
    </row>
    <row r="10" spans="1:23">
      <c r="A10" t="s">
        <v>153</v>
      </c>
      <c r="B10" s="2">
        <v>103.29166666666667</v>
      </c>
      <c r="C10" s="2">
        <v>21.367922777208335</v>
      </c>
      <c r="D10" s="2">
        <v>16.794352589999999</v>
      </c>
      <c r="E10" s="2">
        <v>0</v>
      </c>
      <c r="F10" s="2">
        <v>0.89999999999999991</v>
      </c>
      <c r="G10" s="2">
        <v>1.7000000000000002</v>
      </c>
      <c r="H10" s="2">
        <v>0</v>
      </c>
      <c r="I10" s="2">
        <v>573.37927350387497</v>
      </c>
      <c r="J10" s="2">
        <v>12.295669931125</v>
      </c>
      <c r="K10" s="2">
        <v>3.6482843166666665</v>
      </c>
      <c r="L10" s="2">
        <v>4.1944444444583331</v>
      </c>
      <c r="M10" s="2">
        <v>4</v>
      </c>
      <c r="N10" s="2">
        <v>25.926370030541666</v>
      </c>
      <c r="O10" s="2">
        <v>0</v>
      </c>
      <c r="P10" s="2">
        <v>29.595902458874999</v>
      </c>
      <c r="Q10" s="2">
        <v>5.7791968300000001</v>
      </c>
      <c r="R10" s="2">
        <v>39.110105571666672</v>
      </c>
      <c r="S10" s="2">
        <v>5.8823529999999992E-2</v>
      </c>
      <c r="T10" s="2">
        <v>0.29411765000000001</v>
      </c>
      <c r="U10" s="2">
        <v>37.352941180000002</v>
      </c>
      <c r="V10" s="2">
        <v>0</v>
      </c>
      <c r="W10" s="2">
        <v>0.17500000000000002</v>
      </c>
    </row>
    <row r="11" spans="1:23">
      <c r="A11" t="s">
        <v>152</v>
      </c>
      <c r="B11" s="2">
        <v>95.083333333333329</v>
      </c>
      <c r="C11" s="2">
        <v>23.409555284416665</v>
      </c>
      <c r="D11" s="2">
        <v>10.575427203333334</v>
      </c>
      <c r="E11" s="2">
        <v>0</v>
      </c>
      <c r="F11" s="2">
        <v>2.59285714</v>
      </c>
      <c r="G11" s="2">
        <v>6.5642857100000001</v>
      </c>
      <c r="H11" s="2">
        <v>0</v>
      </c>
      <c r="I11" s="2">
        <v>551.05698006524995</v>
      </c>
      <c r="J11" s="2">
        <v>22.965059908166666</v>
      </c>
      <c r="K11" s="2">
        <v>0.50002723704166663</v>
      </c>
      <c r="L11" s="2">
        <v>12.194444444458334</v>
      </c>
      <c r="M11" s="2">
        <v>12</v>
      </c>
      <c r="N11" s="2">
        <v>21.703179982208336</v>
      </c>
      <c r="O11" s="2">
        <v>0</v>
      </c>
      <c r="P11" s="2">
        <v>52.000377066666665</v>
      </c>
      <c r="Q11" s="2">
        <v>7.9763008933333337</v>
      </c>
      <c r="R11" s="2">
        <v>27.873303160000003</v>
      </c>
      <c r="S11" s="2">
        <v>7.8431373333333332E-2</v>
      </c>
      <c r="T11" s="2">
        <v>0.39215686666666666</v>
      </c>
      <c r="U11" s="2">
        <v>49.803921573333334</v>
      </c>
      <c r="V11" s="2">
        <v>0</v>
      </c>
      <c r="W11" s="2">
        <v>0.35000000000000003</v>
      </c>
    </row>
    <row r="12" spans="1:23">
      <c r="A12" t="s">
        <v>151</v>
      </c>
      <c r="B12" s="2">
        <v>109.43333333333334</v>
      </c>
      <c r="C12" s="2">
        <v>30.821168888316667</v>
      </c>
      <c r="D12" s="2">
        <v>15.615211409999999</v>
      </c>
      <c r="E12" s="2">
        <v>0</v>
      </c>
      <c r="F12" s="2">
        <v>3.1313186787</v>
      </c>
      <c r="G12" s="2">
        <v>7.7271062218666664</v>
      </c>
      <c r="H12" s="2">
        <v>0</v>
      </c>
      <c r="I12" s="2">
        <v>346.22044159524995</v>
      </c>
      <c r="J12" s="2">
        <v>13.127874140583335</v>
      </c>
      <c r="K12" s="2">
        <v>1.5272582559333332</v>
      </c>
      <c r="L12" s="2">
        <v>7.0555555539166663</v>
      </c>
      <c r="M12" s="2">
        <v>6.666666666666667</v>
      </c>
      <c r="N12" s="2">
        <v>27.034979885516673</v>
      </c>
      <c r="O12" s="2">
        <v>0</v>
      </c>
      <c r="P12" s="2">
        <v>38.390899945549997</v>
      </c>
      <c r="Q12" s="2">
        <v>4.7632202086999991</v>
      </c>
      <c r="R12" s="2">
        <v>79.623001504800001</v>
      </c>
      <c r="S12" s="2">
        <v>2.9411764999999996E-2</v>
      </c>
      <c r="T12" s="2">
        <v>0.147058825</v>
      </c>
      <c r="U12" s="2">
        <v>18.676470590000001</v>
      </c>
      <c r="V12" s="2">
        <v>0</v>
      </c>
      <c r="W12" s="2">
        <v>0.35000000000000003</v>
      </c>
    </row>
    <row r="13" spans="1:23">
      <c r="A13" t="s">
        <v>150</v>
      </c>
      <c r="B13" s="2">
        <v>102.5</v>
      </c>
      <c r="C13" s="2">
        <v>24.950822116541669</v>
      </c>
      <c r="D13" s="2">
        <v>14.92395683</v>
      </c>
      <c r="E13" s="2">
        <v>0</v>
      </c>
      <c r="F13" s="2">
        <v>2.3580586063333331</v>
      </c>
      <c r="G13" s="2">
        <v>5.6749084213333338</v>
      </c>
      <c r="H13" s="2">
        <v>0</v>
      </c>
      <c r="I13" s="2">
        <v>370.35826210804163</v>
      </c>
      <c r="J13" s="2">
        <v>8.7468267376250015</v>
      </c>
      <c r="K13" s="2">
        <v>1.3111710888333334</v>
      </c>
      <c r="L13" s="2">
        <v>4.152777777791667</v>
      </c>
      <c r="M13" s="2">
        <v>4</v>
      </c>
      <c r="N13" s="2">
        <v>30.145349751208332</v>
      </c>
      <c r="O13" s="2">
        <v>0</v>
      </c>
      <c r="P13" s="2">
        <v>32.039023840875011</v>
      </c>
      <c r="Q13" s="2">
        <v>5.0490362113333331</v>
      </c>
      <c r="R13" s="2">
        <v>51.56753260866666</v>
      </c>
      <c r="S13" s="2">
        <v>0</v>
      </c>
      <c r="T13" s="2">
        <v>0</v>
      </c>
      <c r="U13" s="2">
        <v>0</v>
      </c>
      <c r="V13" s="2">
        <v>0</v>
      </c>
      <c r="W13" s="2">
        <v>0.17500000000000002</v>
      </c>
    </row>
    <row r="14" spans="1:23">
      <c r="A14" t="s">
        <v>149</v>
      </c>
      <c r="B14" s="2">
        <v>96.958333333333329</v>
      </c>
      <c r="C14" s="2">
        <v>20.945780505416668</v>
      </c>
      <c r="D14" s="2">
        <v>14.285678439999998</v>
      </c>
      <c r="E14" s="2">
        <v>0</v>
      </c>
      <c r="F14" s="2">
        <v>0.92990384633333323</v>
      </c>
      <c r="G14" s="2">
        <v>1.8659401702083336</v>
      </c>
      <c r="H14" s="2">
        <v>0</v>
      </c>
      <c r="I14" s="2">
        <v>382.56233262137499</v>
      </c>
      <c r="J14" s="2">
        <v>6.2696118242916663</v>
      </c>
      <c r="K14" s="2">
        <v>1.2045263538333333</v>
      </c>
      <c r="L14" s="2">
        <v>4.3215277761249995</v>
      </c>
      <c r="M14" s="2">
        <v>4</v>
      </c>
      <c r="N14" s="2">
        <v>31.808205124000001</v>
      </c>
      <c r="O14" s="2">
        <v>0</v>
      </c>
      <c r="P14" s="2">
        <v>44.170405979625002</v>
      </c>
      <c r="Q14" s="2">
        <v>5.5688141018749997</v>
      </c>
      <c r="R14" s="2">
        <v>66.351495720749995</v>
      </c>
      <c r="S14" s="2">
        <v>1.3888887499999999E-4</v>
      </c>
      <c r="T14" s="2">
        <v>1.25E-3</v>
      </c>
      <c r="U14" s="2">
        <v>2.7361111125E-2</v>
      </c>
      <c r="V14" s="2">
        <v>5.7638888874999995E-2</v>
      </c>
      <c r="W14" s="2">
        <v>0.22791666666666668</v>
      </c>
    </row>
    <row r="15" spans="1:23">
      <c r="A15" t="s">
        <v>148</v>
      </c>
      <c r="B15" s="2">
        <v>115</v>
      </c>
      <c r="C15" s="2">
        <v>34.161381710416663</v>
      </c>
      <c r="D15" s="2">
        <v>11.386782523333332</v>
      </c>
      <c r="E15" s="2">
        <v>0</v>
      </c>
      <c r="F15" s="2">
        <v>4.2013324130000003</v>
      </c>
      <c r="G15" s="2">
        <v>10.823083020208331</v>
      </c>
      <c r="H15" s="2">
        <v>0</v>
      </c>
      <c r="I15" s="2">
        <v>272.39780270970829</v>
      </c>
      <c r="J15" s="2">
        <v>24.069465626458335</v>
      </c>
      <c r="K15" s="2">
        <v>5.6665877555000002</v>
      </c>
      <c r="L15" s="2">
        <v>12.404861107791668</v>
      </c>
      <c r="M15" s="2">
        <v>12</v>
      </c>
      <c r="N15" s="2">
        <v>21.029409577333329</v>
      </c>
      <c r="O15" s="2">
        <v>0</v>
      </c>
      <c r="P15" s="2">
        <v>66.121822986291662</v>
      </c>
      <c r="Q15" s="2">
        <v>6.9751793668750004</v>
      </c>
      <c r="R15" s="2">
        <v>577.78868646241665</v>
      </c>
      <c r="S15" s="2">
        <v>1.3888887499999999E-4</v>
      </c>
      <c r="T15" s="2">
        <v>1.25E-3</v>
      </c>
      <c r="U15" s="2">
        <v>2.7361111125E-2</v>
      </c>
      <c r="V15" s="2">
        <v>5.7638888874999995E-2</v>
      </c>
      <c r="W15" s="2">
        <v>0.22791666666666668</v>
      </c>
    </row>
    <row r="16" spans="1:23">
      <c r="A16" t="s">
        <v>147</v>
      </c>
      <c r="B16" s="2">
        <v>106.41666666666667</v>
      </c>
      <c r="C16" s="2">
        <v>33.116141505416671</v>
      </c>
      <c r="D16" s="2">
        <v>15.831878076666664</v>
      </c>
      <c r="E16" s="2">
        <v>0</v>
      </c>
      <c r="F16" s="2">
        <v>3.0727609863333334</v>
      </c>
      <c r="G16" s="2">
        <v>7.5802258802083324</v>
      </c>
      <c r="H16" s="2">
        <v>0</v>
      </c>
      <c r="I16" s="2">
        <v>345.73113603970836</v>
      </c>
      <c r="J16" s="2">
        <v>20.663763873125003</v>
      </c>
      <c r="K16" s="2">
        <v>2.9911491571666668</v>
      </c>
      <c r="L16" s="2">
        <v>10.446527774458334</v>
      </c>
      <c r="M16" s="2">
        <v>10</v>
      </c>
      <c r="N16" s="2">
        <v>21.152216595666662</v>
      </c>
      <c r="O16" s="2">
        <v>0</v>
      </c>
      <c r="P16" s="2">
        <v>47.56041947962499</v>
      </c>
      <c r="Q16" s="2">
        <v>4.2734249818750003</v>
      </c>
      <c r="R16" s="2">
        <v>135.46412505741668</v>
      </c>
      <c r="S16" s="2">
        <v>1.3888887499999999E-4</v>
      </c>
      <c r="T16" s="2">
        <v>1.25E-3</v>
      </c>
      <c r="U16" s="2">
        <v>2.7361111125E-2</v>
      </c>
      <c r="V16" s="2">
        <v>5.7638888874999995E-2</v>
      </c>
      <c r="W16" s="2">
        <v>0.22791666666666668</v>
      </c>
    </row>
    <row r="17" spans="1:23">
      <c r="A17" t="s">
        <v>146</v>
      </c>
      <c r="B17" s="2">
        <v>105.33333333333333</v>
      </c>
      <c r="C17" s="2">
        <v>23.992485916541668</v>
      </c>
      <c r="D17" s="2">
        <v>14.814221946666665</v>
      </c>
      <c r="E17" s="2">
        <v>0</v>
      </c>
      <c r="F17" s="2">
        <v>2.3580586063333331</v>
      </c>
      <c r="G17" s="2">
        <v>5.6749084213333338</v>
      </c>
      <c r="H17" s="2">
        <v>20.33898306</v>
      </c>
      <c r="I17" s="2">
        <v>355.47849967637495</v>
      </c>
      <c r="J17" s="2">
        <v>36.705682916791666</v>
      </c>
      <c r="K17" s="2">
        <v>5.3532763501666665</v>
      </c>
      <c r="L17" s="2">
        <v>26.164077211125001</v>
      </c>
      <c r="M17" s="2">
        <v>25.333333333333332</v>
      </c>
      <c r="N17" s="2">
        <v>17.241404101208332</v>
      </c>
      <c r="O17" s="2">
        <v>0</v>
      </c>
      <c r="P17" s="2">
        <v>7.7964290975416661</v>
      </c>
      <c r="Q17" s="2">
        <v>0.47198717966666665</v>
      </c>
      <c r="R17" s="2">
        <v>209.98046284500001</v>
      </c>
      <c r="S17" s="2">
        <v>6.6666670000000003E-3</v>
      </c>
      <c r="T17" s="2">
        <v>0.06</v>
      </c>
      <c r="U17" s="2">
        <v>3</v>
      </c>
      <c r="V17" s="2">
        <v>0</v>
      </c>
      <c r="W17" s="2">
        <v>0.17500000000000002</v>
      </c>
    </row>
    <row r="18" spans="1:23">
      <c r="A18" t="s">
        <v>60</v>
      </c>
      <c r="B18" s="2">
        <v>106.5</v>
      </c>
      <c r="C18" s="2">
        <v>28.786578636541666</v>
      </c>
      <c r="D18" s="2">
        <v>15.018691267666666</v>
      </c>
      <c r="E18" s="2">
        <v>0</v>
      </c>
      <c r="F18" s="2">
        <v>2.4294871776666667</v>
      </c>
      <c r="G18" s="2">
        <v>5.8653846116666664</v>
      </c>
      <c r="H18" s="2">
        <v>0</v>
      </c>
      <c r="I18" s="2">
        <v>272.62962962637499</v>
      </c>
      <c r="J18" s="2">
        <v>25.22597619979167</v>
      </c>
      <c r="K18" s="2">
        <v>1.9307273371666669</v>
      </c>
      <c r="L18" s="2">
        <v>14.490277774458333</v>
      </c>
      <c r="M18" s="2">
        <v>14</v>
      </c>
      <c r="N18" s="2">
        <v>20.768036697875001</v>
      </c>
      <c r="O18" s="2">
        <v>0</v>
      </c>
      <c r="P18" s="2">
        <v>29.493338357541671</v>
      </c>
      <c r="Q18" s="2">
        <v>2.4702224696666666</v>
      </c>
      <c r="R18" s="2">
        <v>112.44343891533333</v>
      </c>
      <c r="S18" s="2">
        <v>5.8823529999999992E-2</v>
      </c>
      <c r="T18" s="2">
        <v>0.29411765000000001</v>
      </c>
      <c r="U18" s="2">
        <v>37.352941180000002</v>
      </c>
      <c r="V18" s="2">
        <v>0</v>
      </c>
      <c r="W18" s="2">
        <v>0.17500000000000002</v>
      </c>
    </row>
    <row r="19" spans="1:23">
      <c r="A19" t="s">
        <v>61</v>
      </c>
      <c r="B19" s="2">
        <v>104.91666666666667</v>
      </c>
      <c r="C19" s="2">
        <v>25.747967255416665</v>
      </c>
      <c r="D19" s="2">
        <v>19.166167773333335</v>
      </c>
      <c r="E19" s="2">
        <v>0</v>
      </c>
      <c r="F19" s="2">
        <v>1.2299038463333334</v>
      </c>
      <c r="G19" s="2">
        <v>2.4326068368749998</v>
      </c>
      <c r="H19" s="2">
        <v>0</v>
      </c>
      <c r="I19" s="2">
        <v>272.65421295970833</v>
      </c>
      <c r="J19" s="2">
        <v>26.029088943125</v>
      </c>
      <c r="K19" s="2">
        <v>1.6165361621666667</v>
      </c>
      <c r="L19" s="2">
        <v>12.279861109458333</v>
      </c>
      <c r="M19" s="2">
        <v>12</v>
      </c>
      <c r="N19" s="2">
        <v>20.037824280666666</v>
      </c>
      <c r="O19" s="2">
        <v>0</v>
      </c>
      <c r="P19" s="2">
        <v>21.535413519624999</v>
      </c>
      <c r="Q19" s="2">
        <v>2.6336456718750001</v>
      </c>
      <c r="R19" s="2">
        <v>87.111739567416677</v>
      </c>
      <c r="S19" s="2">
        <v>8.8374183874999998E-2</v>
      </c>
      <c r="T19" s="2">
        <v>0.44242647499999999</v>
      </c>
      <c r="U19" s="2">
        <v>56.056772881125006</v>
      </c>
      <c r="V19" s="2">
        <v>5.7638888874999995E-2</v>
      </c>
      <c r="W19" s="2">
        <v>0.22791666666666668</v>
      </c>
    </row>
    <row r="20" spans="1:23">
      <c r="A20" t="s">
        <v>62</v>
      </c>
      <c r="B20" s="2">
        <v>123.625</v>
      </c>
      <c r="C20" s="2">
        <v>30.29445571416667</v>
      </c>
      <c r="D20" s="2">
        <v>15.346072219999998</v>
      </c>
      <c r="E20" s="2">
        <v>0</v>
      </c>
      <c r="F20" s="2">
        <v>3.0319688626666665</v>
      </c>
      <c r="G20" s="2">
        <v>6.2337118404166674</v>
      </c>
      <c r="H20" s="2">
        <v>0</v>
      </c>
      <c r="I20" s="2">
        <v>273.89638888566668</v>
      </c>
      <c r="J20" s="2">
        <v>35.392820513333334</v>
      </c>
      <c r="K20" s="2">
        <v>4.5504700857916669</v>
      </c>
      <c r="L20" s="2">
        <v>13.198611107791669</v>
      </c>
      <c r="M20" s="2">
        <v>12</v>
      </c>
      <c r="N20" s="2">
        <v>23.412136749124997</v>
      </c>
      <c r="O20" s="2">
        <v>0</v>
      </c>
      <c r="P20" s="2">
        <v>43.787393161500006</v>
      </c>
      <c r="Q20" s="2">
        <v>3.0120085470833331</v>
      </c>
      <c r="R20" s="2">
        <v>199.5213675215</v>
      </c>
      <c r="S20" s="2">
        <v>0.15027777775000001</v>
      </c>
      <c r="T20" s="2">
        <v>2.5000000000000001E-3</v>
      </c>
      <c r="U20" s="2">
        <v>5.4722222250000001E-2</v>
      </c>
      <c r="V20" s="2">
        <v>97.615277777750009</v>
      </c>
      <c r="W20" s="2">
        <v>30.455833333333334</v>
      </c>
    </row>
    <row r="21" spans="1:23">
      <c r="A21" t="s">
        <v>63</v>
      </c>
      <c r="B21" s="2">
        <v>115.375</v>
      </c>
      <c r="C21" s="2">
        <v>25.306466118500001</v>
      </c>
      <c r="D21" s="2">
        <v>19.705915424000001</v>
      </c>
      <c r="E21" s="2">
        <v>0</v>
      </c>
      <c r="F21" s="2">
        <v>1.7603205129999999</v>
      </c>
      <c r="G21" s="2">
        <v>2.9898290590833336</v>
      </c>
      <c r="H21" s="2">
        <v>0</v>
      </c>
      <c r="I21" s="2">
        <v>273.89638888566668</v>
      </c>
      <c r="J21" s="2">
        <v>34.327143502749998</v>
      </c>
      <c r="K21" s="2">
        <v>4.0970287867916664</v>
      </c>
      <c r="L21" s="2">
        <v>12.615277777791666</v>
      </c>
      <c r="M21" s="2">
        <v>12</v>
      </c>
      <c r="N21" s="2">
        <v>21.638520020125</v>
      </c>
      <c r="O21" s="2">
        <v>0</v>
      </c>
      <c r="P21" s="2">
        <v>24.536381019499999</v>
      </c>
      <c r="Q21" s="2">
        <v>2.6437561840833332</v>
      </c>
      <c r="R21" s="2">
        <v>142.3466036895</v>
      </c>
      <c r="S21" s="2">
        <v>0.10027777775000001</v>
      </c>
      <c r="T21" s="2">
        <v>2.5000000000000001E-3</v>
      </c>
      <c r="U21" s="2">
        <v>5.4722222250000001E-2</v>
      </c>
      <c r="V21" s="2">
        <v>65.115277777749995</v>
      </c>
      <c r="W21" s="2">
        <v>20.455833333333334</v>
      </c>
    </row>
    <row r="22" spans="1:23">
      <c r="A22" t="s">
        <v>64</v>
      </c>
      <c r="B22" s="2">
        <v>109</v>
      </c>
      <c r="C22" s="2">
        <v>25.306782757625001</v>
      </c>
      <c r="D22" s="2">
        <v>17.168619992666667</v>
      </c>
      <c r="E22" s="2">
        <v>0</v>
      </c>
      <c r="F22" s="2">
        <v>2.1279395596666664</v>
      </c>
      <c r="G22" s="2">
        <v>4.3879242957500004</v>
      </c>
      <c r="H22" s="2">
        <v>0</v>
      </c>
      <c r="I22" s="2">
        <v>263.88250000279169</v>
      </c>
      <c r="J22" s="2">
        <v>29.951047012791662</v>
      </c>
      <c r="K22" s="2">
        <v>2.4270726467916668</v>
      </c>
      <c r="L22" s="2">
        <v>12.420833333333334</v>
      </c>
      <c r="M22" s="2">
        <v>12</v>
      </c>
      <c r="N22" s="2">
        <v>17.887350425916665</v>
      </c>
      <c r="O22" s="2">
        <v>0</v>
      </c>
      <c r="P22" s="2">
        <v>32.853632475958335</v>
      </c>
      <c r="Q22" s="2">
        <v>4.1947649554166668</v>
      </c>
      <c r="R22" s="2">
        <v>72.029059823499992</v>
      </c>
      <c r="S22" s="2">
        <v>0.13361111441666668</v>
      </c>
      <c r="T22" s="2">
        <v>0.60249999999999992</v>
      </c>
      <c r="U22" s="2">
        <v>30.054722222250003</v>
      </c>
      <c r="V22" s="2">
        <v>43.448611111083331</v>
      </c>
      <c r="W22" s="2">
        <v>13.614166666666668</v>
      </c>
    </row>
    <row r="23" spans="1:23">
      <c r="A23" t="s">
        <v>65</v>
      </c>
      <c r="B23" s="2">
        <v>106.20833333333333</v>
      </c>
      <c r="C23" s="2">
        <v>24.522019818166669</v>
      </c>
      <c r="D23" s="2">
        <v>14.658572219999998</v>
      </c>
      <c r="E23" s="2">
        <v>0</v>
      </c>
      <c r="F23" s="2">
        <v>2.7338919396666665</v>
      </c>
      <c r="G23" s="2">
        <v>6.0510195324166673</v>
      </c>
      <c r="H23" s="2">
        <v>0</v>
      </c>
      <c r="I23" s="2">
        <v>273.89638888566668</v>
      </c>
      <c r="J23" s="2">
        <v>27.291324788916665</v>
      </c>
      <c r="K23" s="2">
        <v>2.7812393167916665</v>
      </c>
      <c r="L23" s="2">
        <v>12.490277777791666</v>
      </c>
      <c r="M23" s="2">
        <v>12</v>
      </c>
      <c r="N23" s="2">
        <v>20.101239315124996</v>
      </c>
      <c r="O23" s="2">
        <v>0</v>
      </c>
      <c r="P23" s="2">
        <v>18.992521364499996</v>
      </c>
      <c r="Q23" s="2">
        <v>2.3597649590833334</v>
      </c>
      <c r="R23" s="2">
        <v>103.41239315949998</v>
      </c>
      <c r="S23" s="2">
        <v>7.5277777750000011E-2</v>
      </c>
      <c r="T23" s="2">
        <v>2.5000000000000001E-3</v>
      </c>
      <c r="U23" s="2">
        <v>5.4722222250000001E-2</v>
      </c>
      <c r="V23" s="2">
        <v>48.865277777750002</v>
      </c>
      <c r="W23" s="2">
        <v>15.455833333333333</v>
      </c>
    </row>
    <row r="24" spans="1:23">
      <c r="A24" t="s">
        <v>66</v>
      </c>
      <c r="B24" s="2">
        <v>99.416666666666671</v>
      </c>
      <c r="C24" s="2">
        <v>21.864648028333335</v>
      </c>
      <c r="D24" s="2">
        <v>14.407381739333331</v>
      </c>
      <c r="E24" s="2">
        <v>0</v>
      </c>
      <c r="F24" s="2">
        <v>1.8401190468333333</v>
      </c>
      <c r="G24" s="2">
        <v>3.9475396804166665</v>
      </c>
      <c r="H24" s="2">
        <v>0</v>
      </c>
      <c r="I24" s="2">
        <v>262.69268518791665</v>
      </c>
      <c r="J24" s="2">
        <v>27.062870374500005</v>
      </c>
      <c r="K24" s="2">
        <v>2.5450925930833335</v>
      </c>
      <c r="L24" s="2">
        <v>12.629166666666668</v>
      </c>
      <c r="M24" s="2">
        <v>12.333333333333334</v>
      </c>
      <c r="N24" s="2">
        <v>17.565555550749998</v>
      </c>
      <c r="O24" s="2">
        <v>0</v>
      </c>
      <c r="P24" s="2">
        <v>32.708333327416675</v>
      </c>
      <c r="Q24" s="2">
        <v>3.8377777725833333</v>
      </c>
      <c r="R24" s="2">
        <v>88.861111108833327</v>
      </c>
      <c r="S24" s="2">
        <v>4.1944444416666671E-2</v>
      </c>
      <c r="T24" s="2">
        <v>2.5000000000000001E-3</v>
      </c>
      <c r="U24" s="2">
        <v>5.4722222250000001E-2</v>
      </c>
      <c r="V24" s="2">
        <v>27.198611111083334</v>
      </c>
      <c r="W24" s="2">
        <v>8.7891666666666666</v>
      </c>
    </row>
    <row r="25" spans="1:23">
      <c r="A25" t="s">
        <v>67</v>
      </c>
      <c r="B25" s="2">
        <v>104.66500000000001</v>
      </c>
      <c r="C25" s="2">
        <v>25.718812671301666</v>
      </c>
      <c r="D25" s="2">
        <v>17.135927686666665</v>
      </c>
      <c r="E25" s="2">
        <v>0</v>
      </c>
      <c r="F25" s="2">
        <v>1.6173626364133333</v>
      </c>
      <c r="G25" s="2">
        <v>3.612454211013334</v>
      </c>
      <c r="H25" s="2">
        <v>0</v>
      </c>
      <c r="I25" s="2">
        <v>237.03846154012501</v>
      </c>
      <c r="J25" s="2">
        <v>28.987606844274996</v>
      </c>
      <c r="K25" s="2">
        <v>1.2939529848233333</v>
      </c>
      <c r="L25" s="2">
        <v>12.298611109458333</v>
      </c>
      <c r="M25" s="2">
        <v>12</v>
      </c>
      <c r="N25" s="2">
        <v>15.027606834781666</v>
      </c>
      <c r="O25" s="2">
        <v>0</v>
      </c>
      <c r="P25" s="2">
        <v>23.431196580395007</v>
      </c>
      <c r="Q25" s="2">
        <v>3.1183974330800002</v>
      </c>
      <c r="R25" s="2">
        <v>34.693846147320002</v>
      </c>
      <c r="S25" s="2">
        <v>0.13333333999999999</v>
      </c>
      <c r="T25" s="2">
        <v>1.2</v>
      </c>
      <c r="U25" s="2">
        <v>60</v>
      </c>
      <c r="V25" s="2">
        <v>0</v>
      </c>
      <c r="W25" s="2">
        <v>0.17500000000000002</v>
      </c>
    </row>
    <row r="26" spans="1:23">
      <c r="A26" t="s">
        <v>68</v>
      </c>
      <c r="B26" s="2">
        <v>91.416666666666671</v>
      </c>
      <c r="C26" s="2">
        <v>32.139092470000001</v>
      </c>
      <c r="D26" s="2">
        <v>15.755596025999999</v>
      </c>
      <c r="E26" s="2">
        <v>0</v>
      </c>
      <c r="F26" s="2">
        <v>2.8928571400000003</v>
      </c>
      <c r="G26" s="2">
        <v>7.1309523766666665</v>
      </c>
      <c r="H26" s="2">
        <v>0</v>
      </c>
      <c r="I26" s="2">
        <v>564.23611111391665</v>
      </c>
      <c r="J26" s="2">
        <v>20.472222225583334</v>
      </c>
      <c r="K26" s="2">
        <v>1.7638888855833335</v>
      </c>
      <c r="L26" s="2">
        <v>8.4374999966666664</v>
      </c>
      <c r="M26" s="2">
        <v>8</v>
      </c>
      <c r="N26" s="2">
        <v>17.999999994666666</v>
      </c>
      <c r="O26" s="2">
        <v>0</v>
      </c>
      <c r="P26" s="2">
        <v>40.999999998666667</v>
      </c>
      <c r="Q26" s="2">
        <v>3.7666666613333333</v>
      </c>
      <c r="R26" s="2">
        <v>73.366666663999993</v>
      </c>
      <c r="S26" s="2">
        <v>6.6666669999999997E-2</v>
      </c>
      <c r="T26" s="2">
        <v>0.6</v>
      </c>
      <c r="U26" s="2">
        <v>30</v>
      </c>
      <c r="V26" s="2">
        <v>0</v>
      </c>
      <c r="W26" s="2">
        <v>0</v>
      </c>
    </row>
    <row r="27" spans="1:23">
      <c r="A27" t="s">
        <v>69</v>
      </c>
      <c r="B27" s="2">
        <v>146.58333333333334</v>
      </c>
      <c r="C27" s="2">
        <v>37.889133190000003</v>
      </c>
      <c r="D27" s="2">
        <v>18.144810469333333</v>
      </c>
      <c r="E27" s="2">
        <v>0</v>
      </c>
      <c r="F27" s="2">
        <v>2.3285714266666666</v>
      </c>
      <c r="G27" s="2">
        <v>5.5095238066666674</v>
      </c>
      <c r="H27" s="2">
        <v>0</v>
      </c>
      <c r="I27" s="2">
        <v>734.23611111391665</v>
      </c>
      <c r="J27" s="2">
        <v>35.61944444891666</v>
      </c>
      <c r="K27" s="2">
        <v>7.0972222222500001</v>
      </c>
      <c r="L27" s="2">
        <v>14.527777773333334</v>
      </c>
      <c r="M27" s="2">
        <v>12</v>
      </c>
      <c r="N27" s="2">
        <v>35.555555544666667</v>
      </c>
      <c r="O27" s="2">
        <v>0</v>
      </c>
      <c r="P27" s="2">
        <v>90.777777771999993</v>
      </c>
      <c r="Q27" s="2">
        <v>4.5422222113333328</v>
      </c>
      <c r="R27" s="2">
        <v>520.88888889066664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>
      <c r="A28" t="s">
        <v>70</v>
      </c>
      <c r="B28" s="2">
        <v>100.15277777800002</v>
      </c>
      <c r="C28" s="2">
        <v>28.805759136666666</v>
      </c>
      <c r="D28" s="2">
        <v>15.279405549333333</v>
      </c>
      <c r="E28" s="2">
        <v>0</v>
      </c>
      <c r="F28" s="2">
        <v>2.1785714266666667</v>
      </c>
      <c r="G28" s="2">
        <v>5.2261904733333333</v>
      </c>
      <c r="H28" s="2">
        <v>0</v>
      </c>
      <c r="I28" s="2">
        <v>623.03240746350002</v>
      </c>
      <c r="J28" s="2">
        <v>21.631481485033333</v>
      </c>
      <c r="K28" s="2">
        <v>3.5648148114999998</v>
      </c>
      <c r="L28" s="2">
        <v>8.4444444411666666</v>
      </c>
      <c r="M28" s="2">
        <v>8</v>
      </c>
      <c r="N28" s="2">
        <v>17.999999994666666</v>
      </c>
      <c r="O28" s="2">
        <v>0</v>
      </c>
      <c r="P28" s="2">
        <v>41.499999998666667</v>
      </c>
      <c r="Q28" s="2">
        <v>3.7666666613333333</v>
      </c>
      <c r="R28" s="2">
        <v>79.199999997333336</v>
      </c>
      <c r="S28" s="2">
        <v>6.6666669999999997E-2</v>
      </c>
      <c r="T28" s="2">
        <v>0.6</v>
      </c>
      <c r="U28" s="2">
        <v>30</v>
      </c>
      <c r="V28" s="2">
        <v>0</v>
      </c>
      <c r="W28" s="2">
        <v>0</v>
      </c>
    </row>
    <row r="29" spans="1:23">
      <c r="A29" t="s">
        <v>71</v>
      </c>
      <c r="B29" s="2">
        <v>107.70833333333333</v>
      </c>
      <c r="C29" s="2">
        <v>23.795116094333334</v>
      </c>
      <c r="D29" s="2">
        <v>16.525762849333333</v>
      </c>
      <c r="E29" s="2">
        <v>0</v>
      </c>
      <c r="F29" s="2">
        <v>1.0794871796666665</v>
      </c>
      <c r="G29" s="2">
        <v>2.1487179480000003</v>
      </c>
      <c r="H29" s="2">
        <v>0</v>
      </c>
      <c r="I29" s="2">
        <v>467.36111111391665</v>
      </c>
      <c r="J29" s="2">
        <v>24.627991460583331</v>
      </c>
      <c r="K29" s="2">
        <v>6.3023504245833335</v>
      </c>
      <c r="L29" s="2">
        <v>4.083333333333333</v>
      </c>
      <c r="M29" s="2">
        <v>2.6666666666666665</v>
      </c>
      <c r="N29" s="2">
        <v>28.205128200333331</v>
      </c>
      <c r="O29" s="2">
        <v>0</v>
      </c>
      <c r="P29" s="2">
        <v>52.589743583999997</v>
      </c>
      <c r="Q29" s="2">
        <v>4.4261538409999996</v>
      </c>
      <c r="R29" s="2">
        <v>312.08461537933334</v>
      </c>
      <c r="S29" s="2">
        <v>6.6666669999999997E-2</v>
      </c>
      <c r="T29" s="2">
        <v>0.6</v>
      </c>
      <c r="U29" s="2">
        <v>30</v>
      </c>
      <c r="V29" s="2">
        <v>0</v>
      </c>
      <c r="W29" s="2">
        <v>0</v>
      </c>
    </row>
    <row r="30" spans="1:23">
      <c r="A30" t="s">
        <v>72</v>
      </c>
      <c r="B30" s="2">
        <v>135.93344907466667</v>
      </c>
      <c r="C30" s="2">
        <v>27.930869065333336</v>
      </c>
      <c r="D30" s="2">
        <v>20.780284550666668</v>
      </c>
      <c r="E30" s="2">
        <v>0</v>
      </c>
      <c r="F30" s="2">
        <v>1.155</v>
      </c>
      <c r="G30" s="2">
        <v>2.1816666666666671</v>
      </c>
      <c r="H30" s="2">
        <v>0</v>
      </c>
      <c r="I30" s="2">
        <v>331.26388911999999</v>
      </c>
      <c r="J30" s="2">
        <v>72.414872699199989</v>
      </c>
      <c r="K30" s="2">
        <v>4.8999999866666668</v>
      </c>
      <c r="L30" s="2">
        <v>35.111111111166672</v>
      </c>
      <c r="M30" s="2">
        <v>33.333333333333336</v>
      </c>
      <c r="N30" s="2">
        <v>17.333333333333332</v>
      </c>
      <c r="O30" s="2">
        <v>0</v>
      </c>
      <c r="P30" s="2">
        <v>34.033333333333331</v>
      </c>
      <c r="Q30" s="2">
        <v>2.6</v>
      </c>
      <c r="R30" s="2">
        <v>316.96666665333333</v>
      </c>
      <c r="S30" s="2">
        <v>0.26666667999999999</v>
      </c>
      <c r="T30" s="2">
        <v>2.4</v>
      </c>
      <c r="U30" s="2">
        <v>120</v>
      </c>
      <c r="V30" s="2">
        <v>0</v>
      </c>
      <c r="W30" s="2">
        <v>0</v>
      </c>
    </row>
    <row r="31" spans="1:23">
      <c r="A31" t="s">
        <v>73</v>
      </c>
      <c r="B31" s="2">
        <v>135.55844907466667</v>
      </c>
      <c r="C31" s="2">
        <v>25.472425803333334</v>
      </c>
      <c r="D31" s="2">
        <v>14.541310310999998</v>
      </c>
      <c r="E31" s="2">
        <v>0</v>
      </c>
      <c r="F31" s="2">
        <v>1.8214285700000001</v>
      </c>
      <c r="G31" s="2">
        <v>4.2738095216666663</v>
      </c>
      <c r="H31" s="2">
        <v>0</v>
      </c>
      <c r="I31" s="2">
        <v>430.20833356725001</v>
      </c>
      <c r="J31" s="2">
        <v>49.87876158145</v>
      </c>
      <c r="K31" s="2">
        <v>4.4305555489166668</v>
      </c>
      <c r="L31" s="2">
        <v>27.111111111166665</v>
      </c>
      <c r="M31" s="2">
        <v>25.333333333333332</v>
      </c>
      <c r="N31" s="2">
        <v>29.999999998000003</v>
      </c>
      <c r="O31" s="2">
        <v>0</v>
      </c>
      <c r="P31" s="2">
        <v>54.333333331999995</v>
      </c>
      <c r="Q31" s="2">
        <v>4.5333333313333339</v>
      </c>
      <c r="R31" s="2">
        <v>320.06666665733331</v>
      </c>
      <c r="S31" s="2">
        <v>0.13333333999999999</v>
      </c>
      <c r="T31" s="2">
        <v>1.2</v>
      </c>
      <c r="U31" s="2">
        <v>60</v>
      </c>
      <c r="V31" s="2">
        <v>0</v>
      </c>
      <c r="W31" s="2">
        <v>0</v>
      </c>
    </row>
    <row r="32" spans="1:23">
      <c r="A32" t="s">
        <v>74</v>
      </c>
      <c r="B32" s="2">
        <v>95.986111111333344</v>
      </c>
      <c r="C32" s="2">
        <v>22.361396119999998</v>
      </c>
      <c r="D32" s="2">
        <v>18.891167773333333</v>
      </c>
      <c r="E32" s="2">
        <v>0</v>
      </c>
      <c r="F32" s="2">
        <v>1.05</v>
      </c>
      <c r="G32" s="2">
        <v>1.9833333333333334</v>
      </c>
      <c r="H32" s="2">
        <v>0</v>
      </c>
      <c r="I32" s="2">
        <v>450.62500005333339</v>
      </c>
      <c r="J32" s="2">
        <v>44.233333346866665</v>
      </c>
      <c r="K32" s="2">
        <v>1.4999999866666667</v>
      </c>
      <c r="L32" s="2">
        <v>12.111111111166666</v>
      </c>
      <c r="M32" s="2">
        <v>12</v>
      </c>
      <c r="N32" s="2">
        <v>4</v>
      </c>
      <c r="O32" s="2">
        <v>0</v>
      </c>
      <c r="P32" s="2">
        <v>0.5</v>
      </c>
      <c r="Q32" s="2">
        <v>2</v>
      </c>
      <c r="R32" s="2">
        <v>2.6333333199999998</v>
      </c>
      <c r="S32" s="2">
        <v>0.26666667999999999</v>
      </c>
      <c r="T32" s="2">
        <v>2.4</v>
      </c>
      <c r="U32" s="2">
        <v>120</v>
      </c>
      <c r="V32" s="2">
        <v>0</v>
      </c>
      <c r="W32" s="2">
        <v>0</v>
      </c>
    </row>
    <row r="33" spans="1:23">
      <c r="A33" t="s">
        <v>75</v>
      </c>
      <c r="B33" s="2">
        <v>92.611111111333344</v>
      </c>
      <c r="C33" s="2">
        <v>22.036528370000003</v>
      </c>
      <c r="D33" s="2">
        <v>14.464387234999998</v>
      </c>
      <c r="E33" s="2">
        <v>0</v>
      </c>
      <c r="F33" s="2">
        <v>1.8214285700000001</v>
      </c>
      <c r="G33" s="2">
        <v>4.2738095216666663</v>
      </c>
      <c r="H33" s="2">
        <v>0</v>
      </c>
      <c r="I33" s="2">
        <v>556.2873932179167</v>
      </c>
      <c r="J33" s="2">
        <v>28.719444452449995</v>
      </c>
      <c r="K33" s="2">
        <v>1.8749999955833332</v>
      </c>
      <c r="L33" s="2">
        <v>8.1111111111666663</v>
      </c>
      <c r="M33" s="2">
        <v>8</v>
      </c>
      <c r="N33" s="2">
        <v>15.79487179</v>
      </c>
      <c r="O33" s="2">
        <v>0</v>
      </c>
      <c r="P33" s="2">
        <v>19.641025636666665</v>
      </c>
      <c r="Q33" s="2">
        <v>3.3948717899999998</v>
      </c>
      <c r="R33" s="2">
        <v>43.326495720000004</v>
      </c>
      <c r="S33" s="2">
        <v>8.888889333333333E-2</v>
      </c>
      <c r="T33" s="2">
        <v>0.79999999999999993</v>
      </c>
      <c r="U33" s="2">
        <v>40</v>
      </c>
      <c r="V33" s="2">
        <v>0</v>
      </c>
      <c r="W33" s="2">
        <v>0</v>
      </c>
    </row>
    <row r="34" spans="1:23">
      <c r="A34" t="s">
        <v>76</v>
      </c>
      <c r="B34" s="2">
        <v>108.27777777799999</v>
      </c>
      <c r="C34" s="2">
        <v>25.621212119999999</v>
      </c>
      <c r="D34" s="2">
        <v>6.1818181750000001</v>
      </c>
      <c r="E34" s="2">
        <v>0</v>
      </c>
      <c r="F34" s="2">
        <v>6.8181818249999999</v>
      </c>
      <c r="G34" s="2">
        <v>6.8181818249999999</v>
      </c>
      <c r="H34" s="2">
        <v>0</v>
      </c>
      <c r="I34" s="2">
        <v>581.02272732833342</v>
      </c>
      <c r="J34" s="2">
        <v>46.233333346866665</v>
      </c>
      <c r="K34" s="2">
        <v>4.833333323333334</v>
      </c>
      <c r="L34" s="2">
        <v>12.444444441166667</v>
      </c>
      <c r="M34" s="2">
        <v>12</v>
      </c>
      <c r="N34" s="2">
        <v>6.6666666599999997</v>
      </c>
      <c r="O34" s="2">
        <v>0</v>
      </c>
      <c r="P34" s="2">
        <v>22.833333330000002</v>
      </c>
      <c r="Q34" s="2">
        <v>2.1666666600000002</v>
      </c>
      <c r="R34" s="2">
        <v>109.59999999333333</v>
      </c>
      <c r="S34" s="2">
        <v>0.20000001000000001</v>
      </c>
      <c r="T34" s="2">
        <v>1.7999999999999998</v>
      </c>
      <c r="U34" s="2">
        <v>90</v>
      </c>
      <c r="V34" s="2">
        <v>0</v>
      </c>
      <c r="W34" s="2">
        <v>0</v>
      </c>
    </row>
    <row r="35" spans="1:23">
      <c r="A35" t="s">
        <v>77</v>
      </c>
      <c r="B35" s="2">
        <v>72.627777777999995</v>
      </c>
      <c r="C35" s="2">
        <v>33.017297595999999</v>
      </c>
      <c r="D35" s="2">
        <v>15.600834122999998</v>
      </c>
      <c r="E35" s="2">
        <v>0</v>
      </c>
      <c r="F35" s="2">
        <v>2.7152014629999996</v>
      </c>
      <c r="G35" s="2">
        <v>6.627289373</v>
      </c>
      <c r="H35" s="2">
        <v>0</v>
      </c>
      <c r="I35" s="2">
        <v>334.49074079550002</v>
      </c>
      <c r="J35" s="2">
        <v>8.3622507133666684</v>
      </c>
      <c r="K35" s="2">
        <v>3.7699430205</v>
      </c>
      <c r="L35" s="2">
        <v>4.6111111061666668</v>
      </c>
      <c r="M35" s="2">
        <v>4</v>
      </c>
      <c r="N35" s="2">
        <v>15.371794866333332</v>
      </c>
      <c r="O35" s="2">
        <v>0</v>
      </c>
      <c r="P35" s="2">
        <v>45.589743587999997</v>
      </c>
      <c r="Q35" s="2">
        <v>2.4461538403333334</v>
      </c>
      <c r="R35" s="2">
        <v>123.55128205566666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>
      <c r="A36" t="s">
        <v>78</v>
      </c>
      <c r="B36" s="2">
        <v>80.902777778000001</v>
      </c>
      <c r="C36" s="2">
        <v>24.502446190166669</v>
      </c>
      <c r="D36" s="2">
        <v>20.510410725333333</v>
      </c>
      <c r="E36" s="2">
        <v>0</v>
      </c>
      <c r="F36" s="2">
        <v>1.2041025641666667</v>
      </c>
      <c r="G36" s="2">
        <v>2.3135897433333334</v>
      </c>
      <c r="H36" s="2">
        <v>0</v>
      </c>
      <c r="I36" s="2">
        <v>203.54166671999999</v>
      </c>
      <c r="J36" s="2">
        <v>44.053846167700009</v>
      </c>
      <c r="K36" s="2">
        <v>1.5256410124999997</v>
      </c>
      <c r="L36" s="2">
        <v>12.777777777833334</v>
      </c>
      <c r="M36" s="2">
        <v>12.666666666666666</v>
      </c>
      <c r="N36" s="2">
        <v>4.1923076925</v>
      </c>
      <c r="O36" s="2">
        <v>0</v>
      </c>
      <c r="P36" s="2">
        <v>1.2820512816666667</v>
      </c>
      <c r="Q36" s="2">
        <v>2.0641025641666668</v>
      </c>
      <c r="R36" s="2">
        <v>7.0564102433333327</v>
      </c>
      <c r="S36" s="2">
        <v>0.26666667999999999</v>
      </c>
      <c r="T36" s="2">
        <v>2.4</v>
      </c>
      <c r="U36" s="2">
        <v>120</v>
      </c>
      <c r="V36" s="2">
        <v>0</v>
      </c>
      <c r="W36" s="2">
        <v>0</v>
      </c>
    </row>
    <row r="37" spans="1:23">
      <c r="A37" t="s">
        <v>79</v>
      </c>
      <c r="B37" s="2">
        <v>120.98611111133334</v>
      </c>
      <c r="C37" s="2">
        <v>56.795506963666675</v>
      </c>
      <c r="D37" s="2">
        <v>42.933650081333333</v>
      </c>
      <c r="E37" s="2">
        <v>0</v>
      </c>
      <c r="F37" s="2">
        <v>2.5194871796666667</v>
      </c>
      <c r="G37" s="2">
        <v>4.8687179480000005</v>
      </c>
      <c r="H37" s="2">
        <v>0</v>
      </c>
      <c r="I37" s="2">
        <v>269.28240746350002</v>
      </c>
      <c r="J37" s="2">
        <v>15.028917383366666</v>
      </c>
      <c r="K37" s="2">
        <v>4.9366096871666665</v>
      </c>
      <c r="L37" s="2">
        <v>4.4444444411666666</v>
      </c>
      <c r="M37" s="2">
        <v>4</v>
      </c>
      <c r="N37" s="2">
        <v>18.871794863666665</v>
      </c>
      <c r="O37" s="2">
        <v>0</v>
      </c>
      <c r="P37" s="2">
        <v>45.923076917333333</v>
      </c>
      <c r="Q37" s="2">
        <v>3.7794871709999995</v>
      </c>
      <c r="R37" s="2">
        <v>129.38461538600001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>
      <c r="A38" t="s">
        <v>80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81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>
      <c r="A40" t="s">
        <v>82</v>
      </c>
      <c r="B40" s="2">
        <v>129.75</v>
      </c>
      <c r="C40" s="2">
        <v>26.374166673291665</v>
      </c>
      <c r="D40" s="2">
        <v>15.382142865</v>
      </c>
      <c r="E40" s="2">
        <v>0</v>
      </c>
      <c r="F40" s="2">
        <v>3.215119038333333</v>
      </c>
      <c r="G40" s="2">
        <v>5.7153968210833339</v>
      </c>
      <c r="H40" s="2">
        <v>0</v>
      </c>
      <c r="I40" s="2">
        <v>400.89638888887504</v>
      </c>
      <c r="J40" s="2">
        <v>61.74111112495833</v>
      </c>
      <c r="K40" s="2">
        <v>8.8455555483333335</v>
      </c>
      <c r="L40" s="2">
        <v>20.740277777791665</v>
      </c>
      <c r="M40" s="2">
        <v>20.666666666666668</v>
      </c>
      <c r="N40" s="2">
        <v>6.8461111044583332</v>
      </c>
      <c r="O40" s="2">
        <v>0</v>
      </c>
      <c r="P40" s="2">
        <v>28.124999993041669</v>
      </c>
      <c r="Q40" s="2">
        <v>5.4244444377500001</v>
      </c>
      <c r="R40" s="2">
        <v>647.34999999249999</v>
      </c>
      <c r="S40" s="2">
        <v>0.14472222941666668</v>
      </c>
      <c r="T40" s="2">
        <v>1.3025</v>
      </c>
      <c r="U40" s="2">
        <v>65.054722222249993</v>
      </c>
      <c r="V40" s="2">
        <v>0.11527777774999999</v>
      </c>
      <c r="W40" s="2">
        <v>0.28083333333333332</v>
      </c>
    </row>
    <row r="41" spans="1:23">
      <c r="A41" t="s">
        <v>83</v>
      </c>
      <c r="B41" s="2">
        <v>104.75</v>
      </c>
      <c r="C41" s="2">
        <v>29.694679492958333</v>
      </c>
      <c r="D41" s="2">
        <v>13.120238097666666</v>
      </c>
      <c r="E41" s="2">
        <v>0</v>
      </c>
      <c r="F41" s="2">
        <v>3.2590750839999996</v>
      </c>
      <c r="G41" s="2">
        <v>6.4205250250833332</v>
      </c>
      <c r="H41" s="2">
        <v>0</v>
      </c>
      <c r="I41" s="2">
        <v>359.97046296570835</v>
      </c>
      <c r="J41" s="2">
        <v>23.743960118708333</v>
      </c>
      <c r="K41" s="2">
        <v>9.0343019951666665</v>
      </c>
      <c r="L41" s="2">
        <v>8.4069444411250007</v>
      </c>
      <c r="M41" s="2">
        <v>8</v>
      </c>
      <c r="N41" s="2">
        <v>20.525598282791666</v>
      </c>
      <c r="O41" s="2">
        <v>0</v>
      </c>
      <c r="P41" s="2">
        <v>63.766025634374991</v>
      </c>
      <c r="Q41" s="2">
        <v>6.3564957180833339</v>
      </c>
      <c r="R41" s="2">
        <v>519.40598290749995</v>
      </c>
      <c r="S41" s="2">
        <v>2.7777774999999998E-4</v>
      </c>
      <c r="T41" s="2">
        <v>2.5000000000000001E-3</v>
      </c>
      <c r="U41" s="2">
        <v>5.4722222250000001E-2</v>
      </c>
      <c r="V41" s="2">
        <v>0.11527777774999999</v>
      </c>
      <c r="W41" s="2">
        <v>0.28083333333333332</v>
      </c>
    </row>
    <row r="42" spans="1:23">
      <c r="A42" t="s">
        <v>84</v>
      </c>
      <c r="B42" s="2">
        <v>99.416666666666671</v>
      </c>
      <c r="C42" s="2">
        <v>21.169282760958335</v>
      </c>
      <c r="D42" s="2">
        <v>16.21742952</v>
      </c>
      <c r="E42" s="2">
        <v>0</v>
      </c>
      <c r="F42" s="2">
        <v>1.080320513</v>
      </c>
      <c r="G42" s="2">
        <v>2.1498290590833338</v>
      </c>
      <c r="H42" s="2">
        <v>0</v>
      </c>
      <c r="I42" s="2">
        <v>294.22972222220835</v>
      </c>
      <c r="J42" s="2">
        <v>55.638547023291665</v>
      </c>
      <c r="K42" s="2">
        <v>7.3840170873333335</v>
      </c>
      <c r="L42" s="2">
        <v>16.073611111125</v>
      </c>
      <c r="M42" s="2">
        <v>16</v>
      </c>
      <c r="N42" s="2">
        <v>7.3845726434583332</v>
      </c>
      <c r="O42" s="2">
        <v>0</v>
      </c>
      <c r="P42" s="2">
        <v>30.714743581708337</v>
      </c>
      <c r="Q42" s="2">
        <v>5.6039316174166665</v>
      </c>
      <c r="R42" s="2">
        <v>658.40128204450002</v>
      </c>
      <c r="S42" s="2">
        <v>0.14472222941666668</v>
      </c>
      <c r="T42" s="2">
        <v>1.3025</v>
      </c>
      <c r="U42" s="2">
        <v>65.054722222249993</v>
      </c>
      <c r="V42" s="2">
        <v>0.11527777774999999</v>
      </c>
      <c r="W42" s="2">
        <v>0.28083333333333332</v>
      </c>
    </row>
    <row r="43" spans="1:23">
      <c r="A43" t="s">
        <v>85</v>
      </c>
      <c r="B43" s="2">
        <v>112.75</v>
      </c>
      <c r="C43" s="2">
        <v>22.569862716291667</v>
      </c>
      <c r="D43" s="2">
        <v>13.216941184333335</v>
      </c>
      <c r="E43" s="2">
        <v>0</v>
      </c>
      <c r="F43" s="2">
        <v>2.0293131856666666</v>
      </c>
      <c r="G43" s="2">
        <v>4.8383821700833325</v>
      </c>
      <c r="H43" s="2">
        <v>0</v>
      </c>
      <c r="I43" s="2">
        <v>359.97046296570835</v>
      </c>
      <c r="J43" s="2">
        <v>27.743960122041671</v>
      </c>
      <c r="K43" s="2">
        <v>9.0343019951666665</v>
      </c>
      <c r="L43" s="2">
        <v>6.4069444444583334</v>
      </c>
      <c r="M43" s="2">
        <v>6.333333333333333</v>
      </c>
      <c r="N43" s="2">
        <v>19.525598282791666</v>
      </c>
      <c r="O43" s="2">
        <v>0</v>
      </c>
      <c r="P43" s="2">
        <v>46.099358964375</v>
      </c>
      <c r="Q43" s="2">
        <v>6.3564957180833339</v>
      </c>
      <c r="R43" s="2">
        <v>489.73931623749996</v>
      </c>
      <c r="S43" s="2">
        <v>2.7777774999999998E-4</v>
      </c>
      <c r="T43" s="2">
        <v>2.5000000000000001E-3</v>
      </c>
      <c r="U43" s="2">
        <v>5.4722222250000001E-2</v>
      </c>
      <c r="V43" s="2">
        <v>0.11527777774999999</v>
      </c>
      <c r="W43" s="2">
        <v>0.28083333333333332</v>
      </c>
    </row>
    <row r="44" spans="1:23">
      <c r="A44" t="s">
        <v>86</v>
      </c>
      <c r="B44" s="2">
        <v>107.58333333333333</v>
      </c>
      <c r="C44" s="2">
        <v>24.419038465958334</v>
      </c>
      <c r="D44" s="2">
        <v>14.917857150000001</v>
      </c>
      <c r="E44" s="2">
        <v>0</v>
      </c>
      <c r="F44" s="2">
        <v>2.3231776480000002</v>
      </c>
      <c r="G44" s="2">
        <v>3.3069719140833329</v>
      </c>
      <c r="H44" s="2">
        <v>0</v>
      </c>
      <c r="I44" s="2">
        <v>294.22972222220835</v>
      </c>
      <c r="J44" s="2">
        <v>51.860769243291664</v>
      </c>
      <c r="K44" s="2">
        <v>7.3284615323333329</v>
      </c>
      <c r="L44" s="2">
        <v>16.573611109458334</v>
      </c>
      <c r="M44" s="2">
        <v>16.333333333333332</v>
      </c>
      <c r="N44" s="2">
        <v>7.7179059767916662</v>
      </c>
      <c r="O44" s="2">
        <v>0</v>
      </c>
      <c r="P44" s="2">
        <v>39.548076916708339</v>
      </c>
      <c r="Q44" s="2">
        <v>5.5205982840833334</v>
      </c>
      <c r="R44" s="2">
        <v>673.22905982450004</v>
      </c>
      <c r="S44" s="2">
        <v>0.13361111775000001</v>
      </c>
      <c r="T44" s="2">
        <v>1.2024999999999999</v>
      </c>
      <c r="U44" s="2">
        <v>60.05472222225</v>
      </c>
      <c r="V44" s="2">
        <v>0.11527777774999999</v>
      </c>
      <c r="W44" s="2">
        <v>0.28083333333333332</v>
      </c>
    </row>
    <row r="45" spans="1:23">
      <c r="A45" t="s">
        <v>87</v>
      </c>
      <c r="B45" s="2">
        <v>115.25</v>
      </c>
      <c r="C45" s="2">
        <v>25.528012826291668</v>
      </c>
      <c r="D45" s="2">
        <v>10.083608059000001</v>
      </c>
      <c r="E45" s="2">
        <v>0</v>
      </c>
      <c r="F45" s="2">
        <v>3.1665842413333327</v>
      </c>
      <c r="G45" s="2">
        <v>7.5139316197499992</v>
      </c>
      <c r="H45" s="2">
        <v>0</v>
      </c>
      <c r="I45" s="2">
        <v>391.74824074204167</v>
      </c>
      <c r="J45" s="2">
        <v>22.743960118708333</v>
      </c>
      <c r="K45" s="2">
        <v>9.0984045598333321</v>
      </c>
      <c r="L45" s="2">
        <v>8.2402777761249997</v>
      </c>
      <c r="M45" s="2">
        <v>8</v>
      </c>
      <c r="N45" s="2">
        <v>23.258931617791671</v>
      </c>
      <c r="O45" s="2">
        <v>0</v>
      </c>
      <c r="P45" s="2">
        <v>66.740384610708318</v>
      </c>
      <c r="Q45" s="2">
        <v>6.522051276750001</v>
      </c>
      <c r="R45" s="2">
        <v>487.14529914116662</v>
      </c>
      <c r="S45" s="2">
        <v>2.7777774999999998E-4</v>
      </c>
      <c r="T45" s="2">
        <v>2.5000000000000001E-3</v>
      </c>
      <c r="U45" s="2">
        <v>5.4722222250000001E-2</v>
      </c>
      <c r="V45" s="2">
        <v>0.11527777774999999</v>
      </c>
      <c r="W45" s="2">
        <v>0.28083333333333332</v>
      </c>
    </row>
    <row r="46" spans="1:23">
      <c r="A46" t="s">
        <v>88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</row>
    <row r="47" spans="1:23">
      <c r="A47" t="s">
        <v>89</v>
      </c>
      <c r="B47" s="2">
        <v>107.45833333333333</v>
      </c>
      <c r="C47" s="2">
        <v>27.326623934083333</v>
      </c>
      <c r="D47" s="2">
        <v>7.0952380946666667</v>
      </c>
      <c r="E47" s="2">
        <v>0</v>
      </c>
      <c r="F47" s="2">
        <v>5.6400274656666669</v>
      </c>
      <c r="G47" s="2">
        <v>7.849096455083334</v>
      </c>
      <c r="H47" s="2">
        <v>0</v>
      </c>
      <c r="I47" s="2">
        <v>361.83157407383334</v>
      </c>
      <c r="J47" s="2">
        <v>16.056460117</v>
      </c>
      <c r="K47" s="2">
        <v>8.5134686618333344</v>
      </c>
      <c r="L47" s="2">
        <v>4.3791666633333337</v>
      </c>
      <c r="M47" s="2">
        <v>4</v>
      </c>
      <c r="N47" s="2">
        <v>21.020042729916664</v>
      </c>
      <c r="O47" s="2">
        <v>0</v>
      </c>
      <c r="P47" s="2">
        <v>54.460470081166655</v>
      </c>
      <c r="Q47" s="2">
        <v>5.403995722416667</v>
      </c>
      <c r="R47" s="2">
        <v>504.23931624049993</v>
      </c>
      <c r="S47" s="2">
        <v>2.7777774999999998E-4</v>
      </c>
      <c r="T47" s="2">
        <v>2.5000000000000001E-3</v>
      </c>
      <c r="U47" s="2">
        <v>5.4722222250000001E-2</v>
      </c>
      <c r="V47" s="2">
        <v>0.11527777774999999</v>
      </c>
      <c r="W47" s="2">
        <v>0.10583333333333333</v>
      </c>
    </row>
    <row r="48" spans="1:23">
      <c r="A48" t="s">
        <v>90</v>
      </c>
      <c r="B48" s="2">
        <v>122.83333333333333</v>
      </c>
      <c r="C48" s="2">
        <v>23.036260690375002</v>
      </c>
      <c r="D48" s="2">
        <v>14.810714293000002</v>
      </c>
      <c r="E48" s="2">
        <v>0</v>
      </c>
      <c r="F48" s="2">
        <v>2.5382966953333335</v>
      </c>
      <c r="G48" s="2">
        <v>3.8795115961666666</v>
      </c>
      <c r="H48" s="2">
        <v>0</v>
      </c>
      <c r="I48" s="2">
        <v>371.15388888887497</v>
      </c>
      <c r="J48" s="2">
        <v>61.283824801625002</v>
      </c>
      <c r="K48" s="2">
        <v>10.986517087333333</v>
      </c>
      <c r="L48" s="2">
        <v>20.077777777791667</v>
      </c>
      <c r="M48" s="2">
        <v>20</v>
      </c>
      <c r="N48" s="2">
        <v>7.6140170873750002</v>
      </c>
      <c r="O48" s="2">
        <v>0</v>
      </c>
      <c r="P48" s="2">
        <v>33.42307691420833</v>
      </c>
      <c r="Q48" s="2">
        <v>5.7314316168333326</v>
      </c>
      <c r="R48" s="2">
        <v>672.17905982200011</v>
      </c>
      <c r="S48" s="2">
        <v>0.14500000716666669</v>
      </c>
      <c r="T48" s="2">
        <v>1.3049999999999999</v>
      </c>
      <c r="U48" s="2">
        <v>65.109444444499999</v>
      </c>
      <c r="V48" s="2">
        <v>0.23055555549999998</v>
      </c>
      <c r="W48" s="2">
        <v>0.38666666666666671</v>
      </c>
    </row>
    <row r="49" spans="1:23">
      <c r="A49" t="s">
        <v>91</v>
      </c>
      <c r="B49" s="2">
        <v>117.125</v>
      </c>
      <c r="C49" s="2">
        <v>23.528012829624998</v>
      </c>
      <c r="D49" s="2">
        <v>11.072619049333333</v>
      </c>
      <c r="E49" s="2">
        <v>0</v>
      </c>
      <c r="F49" s="2">
        <v>3.1400274656666665</v>
      </c>
      <c r="G49" s="2">
        <v>6.4205250250833332</v>
      </c>
      <c r="H49" s="2">
        <v>0</v>
      </c>
      <c r="I49" s="2">
        <v>490.17879629570842</v>
      </c>
      <c r="J49" s="2">
        <v>33.767571233124997</v>
      </c>
      <c r="K49" s="2">
        <v>10.3676353285</v>
      </c>
      <c r="L49" s="2">
        <v>10.073611111125</v>
      </c>
      <c r="M49" s="2">
        <v>10</v>
      </c>
      <c r="N49" s="2">
        <v>21.19226494945833</v>
      </c>
      <c r="O49" s="2">
        <v>0</v>
      </c>
      <c r="P49" s="2">
        <v>48.766025631041657</v>
      </c>
      <c r="Q49" s="2">
        <v>7.7231623880833338</v>
      </c>
      <c r="R49" s="2">
        <v>686.07264956749998</v>
      </c>
      <c r="S49" s="2">
        <v>2.7777774999999998E-4</v>
      </c>
      <c r="T49" s="2">
        <v>2.5000000000000001E-3</v>
      </c>
      <c r="U49" s="2">
        <v>5.4722222250000001E-2</v>
      </c>
      <c r="V49" s="2">
        <v>0.11527777774999999</v>
      </c>
      <c r="W49" s="2">
        <v>0.28083333333333332</v>
      </c>
    </row>
    <row r="50" spans="1:23">
      <c r="A50" t="s">
        <v>92</v>
      </c>
      <c r="B50" s="2">
        <v>125.08333333333333</v>
      </c>
      <c r="C50" s="2">
        <v>22.307943689333332</v>
      </c>
      <c r="D50" s="2">
        <v>14.642857149999999</v>
      </c>
      <c r="E50" s="2">
        <v>0</v>
      </c>
      <c r="F50" s="2">
        <v>2.3223443146666667</v>
      </c>
      <c r="G50" s="2">
        <v>3.3058608029999998</v>
      </c>
      <c r="H50" s="2">
        <v>0</v>
      </c>
      <c r="I50" s="2">
        <v>351.04166666666669</v>
      </c>
      <c r="J50" s="2">
        <v>60.92023001550001</v>
      </c>
      <c r="K50" s="2">
        <v>12.342383114</v>
      </c>
      <c r="L50" s="2">
        <v>20.125</v>
      </c>
      <c r="M50" s="2">
        <v>20</v>
      </c>
      <c r="N50" s="2">
        <v>7.3391151240000001</v>
      </c>
      <c r="O50" s="2">
        <v>0</v>
      </c>
      <c r="P50" s="2">
        <v>32.46882854366666</v>
      </c>
      <c r="Q50" s="2">
        <v>5.7762191896666657</v>
      </c>
      <c r="R50" s="2">
        <v>710.51206636699999</v>
      </c>
      <c r="S50" s="2">
        <v>0.12745098166666666</v>
      </c>
      <c r="T50" s="2">
        <v>0.63725490833333331</v>
      </c>
      <c r="U50" s="2">
        <v>80.931372556666673</v>
      </c>
      <c r="V50" s="2">
        <v>0</v>
      </c>
      <c r="W50" s="2">
        <v>0</v>
      </c>
    </row>
    <row r="51" spans="1:23">
      <c r="A51" t="s">
        <v>93</v>
      </c>
      <c r="B51" s="2">
        <v>109.16666666666667</v>
      </c>
      <c r="C51" s="2">
        <v>24.897435903333331</v>
      </c>
      <c r="D51" s="2">
        <v>11.071428572666667</v>
      </c>
      <c r="E51" s="2">
        <v>0</v>
      </c>
      <c r="F51" s="2">
        <v>2.3992673933333335</v>
      </c>
      <c r="G51" s="2">
        <v>4.4505494466666669</v>
      </c>
      <c r="H51" s="2">
        <v>0</v>
      </c>
      <c r="I51" s="2">
        <v>490.1157407401667</v>
      </c>
      <c r="J51" s="2">
        <v>21.856588323666667</v>
      </c>
      <c r="K51" s="2">
        <v>11.834045584833333</v>
      </c>
      <c r="L51" s="2">
        <v>4.4583333299999994</v>
      </c>
      <c r="M51" s="2">
        <v>4</v>
      </c>
      <c r="N51" s="2">
        <v>22.102564094666665</v>
      </c>
      <c r="O51" s="2">
        <v>0</v>
      </c>
      <c r="P51" s="2">
        <v>63.461538455333333</v>
      </c>
      <c r="Q51" s="2">
        <v>7.6230769179999998</v>
      </c>
      <c r="R51" s="2">
        <v>715.35897435733341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</row>
    <row r="52" spans="1:23">
      <c r="A52" t="s">
        <v>94</v>
      </c>
      <c r="B52" s="2">
        <v>105.20833333333333</v>
      </c>
      <c r="C52" s="2">
        <v>24.147136748916665</v>
      </c>
      <c r="D52" s="2">
        <v>19.047619056666665</v>
      </c>
      <c r="E52" s="2">
        <v>0</v>
      </c>
      <c r="F52" s="2">
        <v>2.2077930308333333</v>
      </c>
      <c r="G52" s="2">
        <v>2.0661294244166668</v>
      </c>
      <c r="H52" s="2">
        <v>0</v>
      </c>
      <c r="I52" s="2">
        <v>196.92416666666668</v>
      </c>
      <c r="J52" s="2">
        <v>46.596346151083331</v>
      </c>
      <c r="K52" s="2">
        <v>7.4614743658333333</v>
      </c>
      <c r="L52" s="2">
        <v>16.712500000000002</v>
      </c>
      <c r="M52" s="2">
        <v>16.666666666666668</v>
      </c>
      <c r="N52" s="2">
        <v>4.1995299070833338</v>
      </c>
      <c r="O52" s="2">
        <v>0</v>
      </c>
      <c r="P52" s="2">
        <v>11.1014957155</v>
      </c>
      <c r="Q52" s="2">
        <v>1.9693803275833333</v>
      </c>
      <c r="R52" s="2">
        <v>112.03418803549999</v>
      </c>
      <c r="S52" s="2">
        <v>0.13361111241666668</v>
      </c>
      <c r="T52" s="2">
        <v>0.66916667333333324</v>
      </c>
      <c r="U52" s="2">
        <v>84.721388896916665</v>
      </c>
      <c r="V52" s="2">
        <v>0.11527777774999999</v>
      </c>
      <c r="W52" s="2">
        <v>0.10583333333333333</v>
      </c>
    </row>
    <row r="53" spans="1:23">
      <c r="A53" t="s">
        <v>95</v>
      </c>
      <c r="B53" s="2">
        <v>96.041666666666671</v>
      </c>
      <c r="C53" s="2">
        <v>22.192435902416666</v>
      </c>
      <c r="D53" s="2">
        <v>10.714285714333334</v>
      </c>
      <c r="E53" s="2">
        <v>0</v>
      </c>
      <c r="F53" s="2">
        <v>2.638195965</v>
      </c>
      <c r="G53" s="2">
        <v>3.0230891310833337</v>
      </c>
      <c r="H53" s="2">
        <v>0</v>
      </c>
      <c r="I53" s="2">
        <v>337.78395502516668</v>
      </c>
      <c r="J53" s="2">
        <v>15.264762926666668</v>
      </c>
      <c r="K53" s="2">
        <v>8.027021773166668</v>
      </c>
      <c r="L53" s="2">
        <v>5.736309518333333</v>
      </c>
      <c r="M53" s="2">
        <v>0</v>
      </c>
      <c r="N53" s="2">
        <v>19.75423076225</v>
      </c>
      <c r="O53" s="2">
        <v>0</v>
      </c>
      <c r="P53" s="2">
        <v>55.873046393166668</v>
      </c>
      <c r="Q53" s="2">
        <v>4.256132474416666</v>
      </c>
      <c r="R53" s="2">
        <v>213.86532358483336</v>
      </c>
      <c r="S53" s="2">
        <v>2.7777774999999998E-4</v>
      </c>
      <c r="T53" s="2">
        <v>2.5000000000000001E-3</v>
      </c>
      <c r="U53" s="2">
        <v>5.4722222250000001E-2</v>
      </c>
      <c r="V53" s="2">
        <v>0.11527777774999999</v>
      </c>
      <c r="W53" s="2">
        <v>3.6772619033333331</v>
      </c>
    </row>
    <row r="54" spans="1:23">
      <c r="A54" t="s">
        <v>96</v>
      </c>
      <c r="B54" s="2">
        <v>106.04166666666667</v>
      </c>
      <c r="C54" s="2">
        <v>24.281752133416671</v>
      </c>
      <c r="D54" s="2">
        <v>15.119047626666665</v>
      </c>
      <c r="E54" s="2">
        <v>0</v>
      </c>
      <c r="F54" s="2">
        <v>2.9605402843333333</v>
      </c>
      <c r="G54" s="2">
        <v>5.0194261254166666</v>
      </c>
      <c r="H54" s="2">
        <v>0</v>
      </c>
      <c r="I54" s="2">
        <v>196.92416666666668</v>
      </c>
      <c r="J54" s="2">
        <v>46.788653843583326</v>
      </c>
      <c r="K54" s="2">
        <v>7.5768589813333334</v>
      </c>
      <c r="L54" s="2">
        <v>16.712500000000002</v>
      </c>
      <c r="M54" s="2">
        <v>16.666666666666668</v>
      </c>
      <c r="N54" s="2">
        <v>4.3149145225833339</v>
      </c>
      <c r="O54" s="2">
        <v>0</v>
      </c>
      <c r="P54" s="2">
        <v>11.870726484500002</v>
      </c>
      <c r="Q54" s="2">
        <v>2.0078418660833335</v>
      </c>
      <c r="R54" s="2">
        <v>116.1880341895</v>
      </c>
      <c r="S54" s="2">
        <v>0.13361111241666668</v>
      </c>
      <c r="T54" s="2">
        <v>0.66916667333333324</v>
      </c>
      <c r="U54" s="2">
        <v>84.721388896916665</v>
      </c>
      <c r="V54" s="2">
        <v>0.11527777774999999</v>
      </c>
      <c r="W54" s="2">
        <v>0.10583333333333333</v>
      </c>
    </row>
    <row r="55" spans="1:23">
      <c r="A55" t="s">
        <v>97</v>
      </c>
      <c r="B55" s="2">
        <v>97.041666666666671</v>
      </c>
      <c r="C55" s="2">
        <v>22.192435902416666</v>
      </c>
      <c r="D55" s="2">
        <v>7.9761904743333325</v>
      </c>
      <c r="E55" s="2">
        <v>0</v>
      </c>
      <c r="F55" s="2">
        <v>3.7096245366666665</v>
      </c>
      <c r="G55" s="2">
        <v>4.4516605594166663</v>
      </c>
      <c r="H55" s="2">
        <v>0</v>
      </c>
      <c r="I55" s="2">
        <v>338.14109788216666</v>
      </c>
      <c r="J55" s="2">
        <v>16.407620069666667</v>
      </c>
      <c r="K55" s="2">
        <v>8.0984503441666664</v>
      </c>
      <c r="L55" s="2">
        <v>6.8077380893333332</v>
      </c>
      <c r="M55" s="2">
        <v>0</v>
      </c>
      <c r="N55" s="2">
        <v>19.75423076225</v>
      </c>
      <c r="O55" s="2">
        <v>0</v>
      </c>
      <c r="P55" s="2">
        <v>58.015903536166668</v>
      </c>
      <c r="Q55" s="2">
        <v>4.3061324744166667</v>
      </c>
      <c r="R55" s="2">
        <v>228.15103787483335</v>
      </c>
      <c r="S55" s="2">
        <v>2.7777774999999998E-4</v>
      </c>
      <c r="T55" s="2">
        <v>2.5000000000000001E-3</v>
      </c>
      <c r="U55" s="2">
        <v>5.4722222250000001E-2</v>
      </c>
      <c r="V55" s="2">
        <v>0.11527777774999999</v>
      </c>
      <c r="W55" s="2">
        <v>4.391547617333333</v>
      </c>
    </row>
    <row r="56" spans="1:23">
      <c r="A56" t="s">
        <v>98</v>
      </c>
      <c r="B56" s="2">
        <v>104.04166666666667</v>
      </c>
      <c r="C56" s="2">
        <v>21.031752135083334</v>
      </c>
      <c r="D56" s="2">
        <v>14.642857149999999</v>
      </c>
      <c r="E56" s="2">
        <v>0</v>
      </c>
      <c r="F56" s="2">
        <v>2.2462545710000001</v>
      </c>
      <c r="G56" s="2">
        <v>3.1146642220833329</v>
      </c>
      <c r="H56" s="2">
        <v>0</v>
      </c>
      <c r="I56" s="2">
        <v>196.92416666666668</v>
      </c>
      <c r="J56" s="2">
        <v>52.621987178583332</v>
      </c>
      <c r="K56" s="2">
        <v>3.0768589813333329</v>
      </c>
      <c r="L56" s="2">
        <v>18.712500000000002</v>
      </c>
      <c r="M56" s="2">
        <v>18.666666666666668</v>
      </c>
      <c r="N56" s="2">
        <v>4.981581187583334</v>
      </c>
      <c r="O56" s="2">
        <v>0</v>
      </c>
      <c r="P56" s="2">
        <v>13.0373931495</v>
      </c>
      <c r="Q56" s="2">
        <v>2.1745085310833332</v>
      </c>
      <c r="R56" s="2">
        <v>124.6880341895</v>
      </c>
      <c r="S56" s="2">
        <v>0.13361111241666668</v>
      </c>
      <c r="T56" s="2">
        <v>0.66916667333333324</v>
      </c>
      <c r="U56" s="2">
        <v>84.721388896916665</v>
      </c>
      <c r="V56" s="2">
        <v>0.11527777774999999</v>
      </c>
      <c r="W56" s="2">
        <v>0.10583333333333333</v>
      </c>
    </row>
    <row r="57" spans="1:23">
      <c r="A57" t="s">
        <v>99</v>
      </c>
      <c r="B57" s="2">
        <v>92.041666666666671</v>
      </c>
      <c r="C57" s="2">
        <v>22.236880347750002</v>
      </c>
      <c r="D57" s="2">
        <v>6.5476190443333344</v>
      </c>
      <c r="E57" s="2">
        <v>0</v>
      </c>
      <c r="F57" s="2">
        <v>4.5429578699999995</v>
      </c>
      <c r="G57" s="2">
        <v>4.9278510360833332</v>
      </c>
      <c r="H57" s="2">
        <v>0</v>
      </c>
      <c r="I57" s="2">
        <v>335.99824074016669</v>
      </c>
      <c r="J57" s="2">
        <v>18.261588323666668</v>
      </c>
      <c r="K57" s="2">
        <v>2.9365455848333331</v>
      </c>
      <c r="L57" s="2">
        <v>7.0458333299999998</v>
      </c>
      <c r="M57" s="2">
        <v>6.666666666666667</v>
      </c>
      <c r="N57" s="2">
        <v>20.109786316916665</v>
      </c>
      <c r="O57" s="2">
        <v>0</v>
      </c>
      <c r="P57" s="2">
        <v>45.780982899500003</v>
      </c>
      <c r="Q57" s="2">
        <v>4.0950213624166665</v>
      </c>
      <c r="R57" s="2">
        <v>142.30341880150002</v>
      </c>
      <c r="S57" s="2">
        <v>2.7777774999999998E-4</v>
      </c>
      <c r="T57" s="2">
        <v>2.5000000000000001E-3</v>
      </c>
      <c r="U57" s="2">
        <v>5.4722222250000001E-2</v>
      </c>
      <c r="V57" s="2">
        <v>0.11527777774999999</v>
      </c>
      <c r="W57" s="2">
        <v>0.10583333333333333</v>
      </c>
    </row>
    <row r="58" spans="1:23">
      <c r="A58" t="s">
        <v>100</v>
      </c>
      <c r="B58" s="2">
        <v>99.375</v>
      </c>
      <c r="C58" s="2">
        <v>19.565688788083332</v>
      </c>
      <c r="D58" s="2">
        <v>7.3809523816666669</v>
      </c>
      <c r="E58" s="2">
        <v>0</v>
      </c>
      <c r="F58" s="2">
        <v>5.5374633630000005</v>
      </c>
      <c r="G58" s="2">
        <v>5.2117338207499992</v>
      </c>
      <c r="H58" s="2">
        <v>0</v>
      </c>
      <c r="I58" s="2">
        <v>196.92416666666668</v>
      </c>
      <c r="J58" s="2">
        <v>49.437975114250001</v>
      </c>
      <c r="K58" s="2">
        <v>3.1703733089999999</v>
      </c>
      <c r="L58" s="2">
        <v>18.712500000000002</v>
      </c>
      <c r="M58" s="2">
        <v>18.666666666666668</v>
      </c>
      <c r="N58" s="2">
        <v>4.8005857132500003</v>
      </c>
      <c r="O58" s="2">
        <v>0</v>
      </c>
      <c r="P58" s="2">
        <v>13.752325276833332</v>
      </c>
      <c r="Q58" s="2">
        <v>1.9769218060833333</v>
      </c>
      <c r="R58" s="2">
        <v>125.03494218349999</v>
      </c>
      <c r="S58" s="2">
        <v>0.10616013175</v>
      </c>
      <c r="T58" s="2">
        <v>0.53191177000000001</v>
      </c>
      <c r="U58" s="2">
        <v>67.290016346249999</v>
      </c>
      <c r="V58" s="2">
        <v>0.11527777774999999</v>
      </c>
      <c r="W58" s="2">
        <v>0.10583333333333333</v>
      </c>
    </row>
    <row r="59" spans="1:23">
      <c r="A59" t="s">
        <v>101</v>
      </c>
      <c r="B59" s="2">
        <v>104.58333333333333</v>
      </c>
      <c r="C59" s="2">
        <v>27.226730775125002</v>
      </c>
      <c r="D59" s="2">
        <v>15.144047619333334</v>
      </c>
      <c r="E59" s="2">
        <v>0</v>
      </c>
      <c r="F59" s="2">
        <v>4.172994497166667</v>
      </c>
      <c r="G59" s="2">
        <v>2.0386568990833331</v>
      </c>
      <c r="H59" s="2">
        <v>0</v>
      </c>
      <c r="I59" s="2">
        <v>336.01212962904168</v>
      </c>
      <c r="J59" s="2">
        <v>20.912763537291667</v>
      </c>
      <c r="K59" s="2">
        <v>2.9189173796666665</v>
      </c>
      <c r="L59" s="2">
        <v>9.7402777744583329</v>
      </c>
      <c r="M59" s="2">
        <v>9.3333333333333339</v>
      </c>
      <c r="N59" s="2">
        <v>20.076880333958332</v>
      </c>
      <c r="O59" s="2">
        <v>0</v>
      </c>
      <c r="P59" s="2">
        <v>45.663461532041673</v>
      </c>
      <c r="Q59" s="2">
        <v>4.0847008495833332</v>
      </c>
      <c r="R59" s="2">
        <v>140.91880341683336</v>
      </c>
      <c r="S59" s="2">
        <v>2.7777774999999998E-4</v>
      </c>
      <c r="T59" s="2">
        <v>2.5000000000000001E-3</v>
      </c>
      <c r="U59" s="2">
        <v>5.4722222250000001E-2</v>
      </c>
      <c r="V59" s="2">
        <v>0.11527777774999999</v>
      </c>
      <c r="W59" s="2">
        <v>0.28083333333333332</v>
      </c>
    </row>
    <row r="60" spans="1:23">
      <c r="A60" t="s">
        <v>102</v>
      </c>
      <c r="B60" s="2">
        <v>110.29166666666667</v>
      </c>
      <c r="C60" s="2">
        <v>20.952692321916668</v>
      </c>
      <c r="D60" s="2">
        <v>10.357142860000002</v>
      </c>
      <c r="E60" s="2">
        <v>0</v>
      </c>
      <c r="F60" s="2">
        <v>4.7077930324999997</v>
      </c>
      <c r="G60" s="2">
        <v>4.4470818060833333</v>
      </c>
      <c r="H60" s="2">
        <v>0</v>
      </c>
      <c r="I60" s="2">
        <v>293.79916666666668</v>
      </c>
      <c r="J60" s="2">
        <v>43.651901724083338</v>
      </c>
      <c r="K60" s="2">
        <v>4.6281410258333331</v>
      </c>
      <c r="L60" s="2">
        <v>9.3791666666666664</v>
      </c>
      <c r="M60" s="2">
        <v>9.3333333333333339</v>
      </c>
      <c r="N60" s="2">
        <v>5.9773076780833323</v>
      </c>
      <c r="O60" s="2">
        <v>0</v>
      </c>
      <c r="P60" s="2">
        <v>13.712606822499998</v>
      </c>
      <c r="Q60" s="2">
        <v>1.5804914385833333</v>
      </c>
      <c r="R60" s="2">
        <v>168.20085470083333</v>
      </c>
      <c r="S60" s="2">
        <v>2.7777774999999998E-4</v>
      </c>
      <c r="T60" s="2">
        <v>2.5000000000000001E-3</v>
      </c>
      <c r="U60" s="2">
        <v>5.4722222250000001E-2</v>
      </c>
      <c r="V60" s="2">
        <v>0.11527777774999999</v>
      </c>
      <c r="W60" s="2">
        <v>0.10583333333333333</v>
      </c>
    </row>
    <row r="61" spans="1:23">
      <c r="A61" t="s">
        <v>103</v>
      </c>
      <c r="B61" s="2">
        <v>107.125</v>
      </c>
      <c r="C61" s="2">
        <v>26.967649578749999</v>
      </c>
      <c r="D61" s="2">
        <v>11.190476189333332</v>
      </c>
      <c r="E61" s="2">
        <v>0</v>
      </c>
      <c r="F61" s="2">
        <v>4.8231776479999997</v>
      </c>
      <c r="G61" s="2">
        <v>4.7355433440833332</v>
      </c>
      <c r="H61" s="2">
        <v>0</v>
      </c>
      <c r="I61" s="2">
        <v>432.87324074016669</v>
      </c>
      <c r="J61" s="2">
        <v>20.543639605333333</v>
      </c>
      <c r="K61" s="2">
        <v>2.705776353833333</v>
      </c>
      <c r="L61" s="2">
        <v>9.7124999966666667</v>
      </c>
      <c r="M61" s="2">
        <v>9.3333333333333339</v>
      </c>
      <c r="N61" s="2">
        <v>19.879017085916665</v>
      </c>
      <c r="O61" s="2">
        <v>0</v>
      </c>
      <c r="P61" s="2">
        <v>44.242521361500003</v>
      </c>
      <c r="Q61" s="2">
        <v>4.0180982854166665</v>
      </c>
      <c r="R61" s="2">
        <v>133.9957264935</v>
      </c>
      <c r="S61" s="2">
        <v>2.7777774999999998E-4</v>
      </c>
      <c r="T61" s="2">
        <v>2.5000000000000001E-3</v>
      </c>
      <c r="U61" s="2">
        <v>5.4722222250000001E-2</v>
      </c>
      <c r="V61" s="2">
        <v>0.11527777774999999</v>
      </c>
      <c r="W61" s="2">
        <v>0.10583333333333333</v>
      </c>
    </row>
    <row r="62" spans="1:23">
      <c r="A62" t="s">
        <v>104</v>
      </c>
      <c r="B62" s="2">
        <v>121</v>
      </c>
      <c r="C62" s="2">
        <v>21.297927363208334</v>
      </c>
      <c r="D62" s="2">
        <v>18.571428579999999</v>
      </c>
      <c r="E62" s="2">
        <v>0</v>
      </c>
      <c r="F62" s="2">
        <v>1.6084752663333333</v>
      </c>
      <c r="G62" s="2">
        <v>0.44927350354166667</v>
      </c>
      <c r="H62" s="2">
        <v>0</v>
      </c>
      <c r="I62" s="2">
        <v>293.77458333333334</v>
      </c>
      <c r="J62" s="2">
        <v>46.264519244916663</v>
      </c>
      <c r="K62" s="2">
        <v>4.5897115390000005</v>
      </c>
      <c r="L62" s="2">
        <v>14.043750000000001</v>
      </c>
      <c r="M62" s="2">
        <v>14</v>
      </c>
      <c r="N62" s="2">
        <v>5.8754059701250005</v>
      </c>
      <c r="O62" s="2">
        <v>0</v>
      </c>
      <c r="P62" s="2">
        <v>14.082799130749999</v>
      </c>
      <c r="Q62" s="2">
        <v>1.5487927218750002</v>
      </c>
      <c r="R62" s="2">
        <v>167.85683760741668</v>
      </c>
      <c r="S62" s="2">
        <v>1.3888887499999999E-4</v>
      </c>
      <c r="T62" s="2">
        <v>1.25E-3</v>
      </c>
      <c r="U62" s="2">
        <v>2.7361111125E-2</v>
      </c>
      <c r="V62" s="2">
        <v>5.7638888874999995E-2</v>
      </c>
      <c r="W62" s="2">
        <v>5.2916666666666667E-2</v>
      </c>
    </row>
    <row r="63" spans="1:23">
      <c r="A63" t="s">
        <v>105</v>
      </c>
      <c r="B63" s="2">
        <v>116</v>
      </c>
      <c r="C63" s="2">
        <v>27.144081203208334</v>
      </c>
      <c r="D63" s="2">
        <v>15.527472529999999</v>
      </c>
      <c r="E63" s="2">
        <v>0</v>
      </c>
      <c r="F63" s="2">
        <v>2.3227609813333334</v>
      </c>
      <c r="G63" s="2">
        <v>3.3064163585416666</v>
      </c>
      <c r="H63" s="2">
        <v>0</v>
      </c>
      <c r="I63" s="2">
        <v>432.8144693735</v>
      </c>
      <c r="J63" s="2">
        <v>25.134889605333331</v>
      </c>
      <c r="K63" s="2">
        <v>2.6545263538333335</v>
      </c>
      <c r="L63" s="2">
        <v>14.37708333</v>
      </c>
      <c r="M63" s="2">
        <v>14</v>
      </c>
      <c r="N63" s="2">
        <v>19.701047000124998</v>
      </c>
      <c r="O63" s="2">
        <v>0</v>
      </c>
      <c r="P63" s="2">
        <v>45.544337600749998</v>
      </c>
      <c r="Q63" s="2">
        <v>4.2388781992083331</v>
      </c>
      <c r="R63" s="2">
        <v>132.66880341675002</v>
      </c>
      <c r="S63" s="2">
        <v>1.3888887499999999E-4</v>
      </c>
      <c r="T63" s="2">
        <v>1.25E-3</v>
      </c>
      <c r="U63" s="2">
        <v>2.7361111125E-2</v>
      </c>
      <c r="V63" s="2">
        <v>5.7638888874999995E-2</v>
      </c>
      <c r="W63" s="2">
        <v>5.2916666666666667E-2</v>
      </c>
    </row>
    <row r="64" spans="1:23">
      <c r="A64" t="s">
        <v>106</v>
      </c>
      <c r="B64" s="2">
        <v>95.333333333333329</v>
      </c>
      <c r="C64" s="2">
        <v>20.666666680000002</v>
      </c>
      <c r="D64" s="2">
        <v>14.642857149999999</v>
      </c>
      <c r="E64" s="2">
        <v>0</v>
      </c>
      <c r="F64" s="2">
        <v>2.1428571349999999</v>
      </c>
      <c r="G64" s="2">
        <v>2.8571428549999998</v>
      </c>
      <c r="H64" s="2">
        <v>0</v>
      </c>
      <c r="I64" s="2">
        <v>497.29166666666669</v>
      </c>
      <c r="J64" s="2">
        <v>38.291666679916666</v>
      </c>
      <c r="K64" s="2">
        <v>4.333333333333333</v>
      </c>
      <c r="L64" s="2">
        <v>4.708333333333333</v>
      </c>
      <c r="M64" s="2">
        <v>4.666666666666667</v>
      </c>
      <c r="N64" s="2">
        <v>5.3333333200000004</v>
      </c>
      <c r="O64" s="2">
        <v>0</v>
      </c>
      <c r="P64" s="2">
        <v>10.333333319999999</v>
      </c>
      <c r="Q64" s="2">
        <v>1.3333333199999999</v>
      </c>
      <c r="R64" s="2">
        <v>153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</row>
    <row r="65" spans="1:23">
      <c r="A65" t="s">
        <v>107</v>
      </c>
      <c r="B65" s="2">
        <v>103.5</v>
      </c>
      <c r="C65" s="2">
        <v>28.179487186666666</v>
      </c>
      <c r="D65" s="2">
        <v>15.765567768333332</v>
      </c>
      <c r="E65" s="2">
        <v>0</v>
      </c>
      <c r="F65" s="2">
        <v>2.4999999916666664</v>
      </c>
      <c r="G65" s="2">
        <v>3.8095238066666668</v>
      </c>
      <c r="H65" s="2">
        <v>0</v>
      </c>
      <c r="I65" s="2">
        <v>547.68571937349998</v>
      </c>
      <c r="J65" s="2">
        <v>24.162037040333331</v>
      </c>
      <c r="K65" s="2">
        <v>2.7314814814999999</v>
      </c>
      <c r="L65" s="2">
        <v>9.7083333300000003</v>
      </c>
      <c r="M65" s="2">
        <v>9.3333333333333339</v>
      </c>
      <c r="N65" s="2">
        <v>19.158974349999998</v>
      </c>
      <c r="O65" s="2">
        <v>0</v>
      </c>
      <c r="P65" s="2">
        <v>42.794871790000002</v>
      </c>
      <c r="Q65" s="2">
        <v>4.0234187973333331</v>
      </c>
      <c r="R65" s="2">
        <v>122.81196580933334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</row>
    <row r="66" spans="1:23">
      <c r="A66" t="s">
        <v>108</v>
      </c>
      <c r="B66" s="2">
        <v>103.25</v>
      </c>
      <c r="C66" s="2">
        <v>20</v>
      </c>
      <c r="D66" s="2">
        <v>14.642857149999999</v>
      </c>
      <c r="E66" s="2">
        <v>0</v>
      </c>
      <c r="F66" s="2">
        <v>2.1428571349999999</v>
      </c>
      <c r="G66" s="2">
        <v>2.8571428549999998</v>
      </c>
      <c r="H66" s="2">
        <v>0</v>
      </c>
      <c r="I66" s="2">
        <v>303.54166666666669</v>
      </c>
      <c r="J66" s="2">
        <v>45.513888903250006</v>
      </c>
      <c r="K66" s="2">
        <v>6.111111096666666</v>
      </c>
      <c r="L66" s="2">
        <v>9.375</v>
      </c>
      <c r="M66" s="2">
        <v>9.3333333333333339</v>
      </c>
      <c r="N66" s="2">
        <v>4.333333333333333</v>
      </c>
      <c r="O66" s="2">
        <v>0</v>
      </c>
      <c r="P66" s="2">
        <v>1</v>
      </c>
      <c r="Q66" s="2">
        <v>1.04</v>
      </c>
      <c r="R66" s="2">
        <v>5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</row>
    <row r="67" spans="1:23">
      <c r="A67" t="s">
        <v>109</v>
      </c>
      <c r="B67" s="2">
        <v>101.58333333333333</v>
      </c>
      <c r="C67" s="2">
        <v>23.012820516666665</v>
      </c>
      <c r="D67" s="2">
        <v>15.265567768333332</v>
      </c>
      <c r="E67" s="2">
        <v>0</v>
      </c>
      <c r="F67" s="2">
        <v>2.4999999916666664</v>
      </c>
      <c r="G67" s="2">
        <v>3.8095238066666668</v>
      </c>
      <c r="H67" s="2">
        <v>0</v>
      </c>
      <c r="I67" s="2">
        <v>379.02599715416665</v>
      </c>
      <c r="J67" s="2">
        <v>35.162037046999998</v>
      </c>
      <c r="K67" s="2">
        <v>4.3981481381666665</v>
      </c>
      <c r="L67" s="2">
        <v>9.375</v>
      </c>
      <c r="M67" s="2">
        <v>9.3333333333333339</v>
      </c>
      <c r="N67" s="2">
        <v>10.69230769</v>
      </c>
      <c r="O67" s="2">
        <v>0</v>
      </c>
      <c r="P67" s="2">
        <v>19.46153846</v>
      </c>
      <c r="Q67" s="2">
        <v>3.41230769</v>
      </c>
      <c r="R67" s="2">
        <v>6.9230769199999997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110</v>
      </c>
      <c r="B68" s="2">
        <v>97.041666666666671</v>
      </c>
      <c r="C68" s="2">
        <v>21.166666670000001</v>
      </c>
      <c r="D68" s="2">
        <v>11.047619049333333</v>
      </c>
      <c r="E68" s="2">
        <v>0</v>
      </c>
      <c r="F68" s="2">
        <v>2.8571428500000002</v>
      </c>
      <c r="G68" s="2">
        <v>5.7142857099999995</v>
      </c>
      <c r="H68" s="2">
        <v>0</v>
      </c>
      <c r="I68" s="2">
        <v>208.40740741016666</v>
      </c>
      <c r="J68" s="2">
        <v>34.039814824833329</v>
      </c>
      <c r="K68" s="2">
        <v>4.1981481381666663</v>
      </c>
      <c r="L68" s="2">
        <v>10.041666666666666</v>
      </c>
      <c r="M68" s="2">
        <v>10</v>
      </c>
      <c r="N68" s="2">
        <v>9.6666666646666659</v>
      </c>
      <c r="O68" s="2">
        <v>0</v>
      </c>
      <c r="P68" s="2">
        <v>16.399999998666669</v>
      </c>
      <c r="Q68" s="2">
        <v>3.0533333313333331</v>
      </c>
      <c r="R68" s="2">
        <v>3.6666666639999996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111</v>
      </c>
      <c r="B69" s="2">
        <v>97.041666666666671</v>
      </c>
      <c r="C69" s="2">
        <v>21.166666670000001</v>
      </c>
      <c r="D69" s="2">
        <v>11.047619049333333</v>
      </c>
      <c r="E69" s="2">
        <v>0</v>
      </c>
      <c r="F69" s="2">
        <v>2.8571428500000002</v>
      </c>
      <c r="G69" s="2">
        <v>5.7142857099999995</v>
      </c>
      <c r="H69" s="2">
        <v>0</v>
      </c>
      <c r="I69" s="2">
        <v>281.7407407401667</v>
      </c>
      <c r="J69" s="2">
        <v>26.373148154833331</v>
      </c>
      <c r="K69" s="2">
        <v>2.8648148081666669</v>
      </c>
      <c r="L69" s="2">
        <v>10.041666666666666</v>
      </c>
      <c r="M69" s="2">
        <v>10</v>
      </c>
      <c r="N69" s="2">
        <v>17.666666664666668</v>
      </c>
      <c r="O69" s="2">
        <v>0</v>
      </c>
      <c r="P69" s="2">
        <v>16.399999998666669</v>
      </c>
      <c r="Q69" s="2">
        <v>3.5800000013333331</v>
      </c>
      <c r="R69" s="2">
        <v>11.999999994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112</v>
      </c>
      <c r="B70" s="2">
        <v>82.208333333333329</v>
      </c>
      <c r="C70" s="2">
        <v>21.000000003333334</v>
      </c>
      <c r="D70" s="2">
        <v>7.1357142853333331</v>
      </c>
      <c r="E70" s="2">
        <v>0</v>
      </c>
      <c r="F70" s="2">
        <v>2.3809523759999998</v>
      </c>
      <c r="G70" s="2">
        <v>5.3333333293333327</v>
      </c>
      <c r="H70" s="2">
        <v>0</v>
      </c>
      <c r="I70" s="2">
        <v>282.93121693016667</v>
      </c>
      <c r="J70" s="2">
        <v>14.971560850333333</v>
      </c>
      <c r="K70" s="2">
        <v>2.8029100481666673</v>
      </c>
      <c r="L70" s="2">
        <v>3.9575396776666665</v>
      </c>
      <c r="M70" s="2">
        <v>0</v>
      </c>
      <c r="N70" s="2">
        <v>19.077777772333334</v>
      </c>
      <c r="O70" s="2">
        <v>0</v>
      </c>
      <c r="P70" s="2">
        <v>44.209523808666667</v>
      </c>
      <c r="Q70" s="2">
        <v>3.8511111089999996</v>
      </c>
      <c r="R70" s="2">
        <v>128.50793651966669</v>
      </c>
      <c r="S70" s="2">
        <v>0</v>
      </c>
      <c r="T70" s="2">
        <v>0</v>
      </c>
      <c r="U70" s="2">
        <v>0</v>
      </c>
      <c r="V70" s="2">
        <v>0</v>
      </c>
      <c r="W70" s="2">
        <v>2.3809523799999996</v>
      </c>
    </row>
    <row r="71" spans="1:23">
      <c r="A71" t="s">
        <v>113</v>
      </c>
      <c r="B71" s="2">
        <v>89.791666666666671</v>
      </c>
      <c r="C71" s="2">
        <v>15.272727269333332</v>
      </c>
      <c r="D71" s="2">
        <v>4.2424242373333341</v>
      </c>
      <c r="E71" s="2">
        <v>0</v>
      </c>
      <c r="F71" s="2">
        <v>5.0909090959999999</v>
      </c>
      <c r="G71" s="2">
        <v>5.0909090959999999</v>
      </c>
      <c r="H71" s="2">
        <v>0</v>
      </c>
      <c r="I71" s="2">
        <v>314.50649350733335</v>
      </c>
      <c r="J71" s="2">
        <v>38.887698426833339</v>
      </c>
      <c r="K71" s="2">
        <v>5.8952380793333328</v>
      </c>
      <c r="L71" s="2">
        <v>6.4702380926666665</v>
      </c>
      <c r="M71" s="2">
        <v>0</v>
      </c>
      <c r="N71" s="2">
        <v>4</v>
      </c>
      <c r="O71" s="2">
        <v>0</v>
      </c>
      <c r="P71" s="2">
        <v>13.257142858000002</v>
      </c>
      <c r="Q71" s="2">
        <v>1.26</v>
      </c>
      <c r="R71" s="2">
        <v>87.714285739999994</v>
      </c>
      <c r="S71" s="2">
        <v>0</v>
      </c>
      <c r="T71" s="2">
        <v>0</v>
      </c>
      <c r="U71" s="2">
        <v>0</v>
      </c>
      <c r="V71" s="2">
        <v>0</v>
      </c>
      <c r="W71" s="2">
        <v>4.285714284</v>
      </c>
    </row>
    <row r="72" spans="1:23">
      <c r="A72" t="s">
        <v>114</v>
      </c>
      <c r="B72" s="2">
        <v>88.458333333333329</v>
      </c>
      <c r="C72" s="2">
        <v>16.439393939333332</v>
      </c>
      <c r="D72" s="2">
        <v>4.5757575666666677</v>
      </c>
      <c r="E72" s="2">
        <v>0</v>
      </c>
      <c r="F72" s="2">
        <v>5.0909090959999999</v>
      </c>
      <c r="G72" s="2">
        <v>5.0909090959999999</v>
      </c>
      <c r="H72" s="2">
        <v>0</v>
      </c>
      <c r="I72" s="2">
        <v>451.17316017333332</v>
      </c>
      <c r="J72" s="2">
        <v>23.554365086833332</v>
      </c>
      <c r="K72" s="2">
        <v>3.2285714193333335</v>
      </c>
      <c r="L72" s="2">
        <v>6.4702380926666665</v>
      </c>
      <c r="M72" s="2">
        <v>0</v>
      </c>
      <c r="N72" s="2">
        <v>17.666666664666668</v>
      </c>
      <c r="O72" s="2">
        <v>0</v>
      </c>
      <c r="P72" s="2">
        <v>29.257142856666672</v>
      </c>
      <c r="Q72" s="2">
        <v>3.8800000013333329</v>
      </c>
      <c r="R72" s="2">
        <v>97.714285734000001</v>
      </c>
      <c r="S72" s="2">
        <v>0</v>
      </c>
      <c r="T72" s="2">
        <v>0</v>
      </c>
      <c r="U72" s="2">
        <v>0</v>
      </c>
      <c r="V72" s="2">
        <v>0</v>
      </c>
      <c r="W72" s="2">
        <v>4.285714284</v>
      </c>
    </row>
    <row r="73" spans="1:23">
      <c r="A73" t="s">
        <v>115</v>
      </c>
      <c r="B73" s="2">
        <v>98.166666666666671</v>
      </c>
      <c r="C73" s="2">
        <v>20.750000004</v>
      </c>
      <c r="D73" s="2">
        <v>9.8809523856666672</v>
      </c>
      <c r="E73" s="2">
        <v>0</v>
      </c>
      <c r="F73" s="2">
        <v>2.0714285663333332</v>
      </c>
      <c r="G73" s="2">
        <v>3.6904761869999998</v>
      </c>
      <c r="H73" s="2">
        <v>0</v>
      </c>
      <c r="I73" s="2">
        <v>646.01322750908332</v>
      </c>
      <c r="J73" s="2">
        <v>32.753439160916663</v>
      </c>
      <c r="K73" s="2">
        <v>5.4276455010833331</v>
      </c>
      <c r="L73" s="2">
        <v>6.8035714226666668</v>
      </c>
      <c r="M73" s="2">
        <v>0</v>
      </c>
      <c r="N73" s="2">
        <v>14.333333326</v>
      </c>
      <c r="O73" s="2">
        <v>0</v>
      </c>
      <c r="P73" s="2">
        <v>47.423809517666676</v>
      </c>
      <c r="Q73" s="2">
        <v>2.2333333286666668</v>
      </c>
      <c r="R73" s="2">
        <v>274.2142857413333</v>
      </c>
      <c r="S73" s="2">
        <v>0</v>
      </c>
      <c r="T73" s="2">
        <v>0</v>
      </c>
      <c r="U73" s="2">
        <v>0</v>
      </c>
      <c r="V73" s="2">
        <v>0</v>
      </c>
      <c r="W73" s="2">
        <v>4.285714284</v>
      </c>
    </row>
    <row r="74" spans="1:23">
      <c r="A74" t="s">
        <v>116</v>
      </c>
      <c r="B74" s="2">
        <v>84.208333333333329</v>
      </c>
      <c r="C74" s="2">
        <v>17.666666666666668</v>
      </c>
      <c r="D74" s="2">
        <v>9.8571428623333333</v>
      </c>
      <c r="E74" s="2">
        <v>0</v>
      </c>
      <c r="F74" s="2">
        <v>2.4523809459999999</v>
      </c>
      <c r="G74" s="2">
        <v>4.7619047583333334</v>
      </c>
      <c r="H74" s="2">
        <v>0</v>
      </c>
      <c r="I74" s="2">
        <v>240.74537037041668</v>
      </c>
      <c r="J74" s="2">
        <v>57.920105830916668</v>
      </c>
      <c r="K74" s="2">
        <v>0.16574074075</v>
      </c>
      <c r="L74" s="2">
        <v>26.708333333333332</v>
      </c>
      <c r="M74" s="2">
        <v>26.666666666666668</v>
      </c>
      <c r="N74" s="2">
        <v>2.7142856979999999</v>
      </c>
      <c r="O74" s="2">
        <v>0</v>
      </c>
      <c r="P74" s="2">
        <v>0.39999999999999997</v>
      </c>
      <c r="Q74" s="2">
        <v>1.7642856980000001</v>
      </c>
      <c r="R74" s="2">
        <v>42.714285697999998</v>
      </c>
      <c r="S74" s="2">
        <v>0.33928569800000002</v>
      </c>
      <c r="T74" s="2">
        <v>2.5785714339999997</v>
      </c>
      <c r="U74" s="2">
        <v>108.57142856599999</v>
      </c>
      <c r="V74" s="2">
        <v>0</v>
      </c>
      <c r="W74" s="2">
        <v>0</v>
      </c>
    </row>
    <row r="75" spans="1:23">
      <c r="A75" t="s">
        <v>117</v>
      </c>
      <c r="B75" s="2">
        <v>91.75</v>
      </c>
      <c r="C75" s="2">
        <v>22.839444442083334</v>
      </c>
      <c r="D75" s="2">
        <v>10.966666668666667</v>
      </c>
      <c r="E75" s="2">
        <v>0</v>
      </c>
      <c r="F75" s="2">
        <v>3.0008333316666662</v>
      </c>
      <c r="G75" s="2">
        <v>2.8344444450833333</v>
      </c>
      <c r="H75" s="2">
        <v>0</v>
      </c>
      <c r="I75" s="2">
        <v>411.59083333066673</v>
      </c>
      <c r="J75" s="2">
        <v>17.292500005666664</v>
      </c>
      <c r="K75" s="2">
        <v>4.2913888856666658</v>
      </c>
      <c r="L75" s="2">
        <v>0.46805555133333332</v>
      </c>
      <c r="M75" s="2">
        <v>0</v>
      </c>
      <c r="N75" s="2">
        <v>14.229444441249997</v>
      </c>
      <c r="O75" s="2">
        <v>0</v>
      </c>
      <c r="P75" s="2">
        <v>35.019444442166666</v>
      </c>
      <c r="Q75" s="2">
        <v>1.8981666660833334</v>
      </c>
      <c r="R75" s="2">
        <v>133.22222222416667</v>
      </c>
      <c r="S75" s="2">
        <v>2.7777774999999998E-4</v>
      </c>
      <c r="T75" s="2">
        <v>2.5000000000000001E-3</v>
      </c>
      <c r="U75" s="2">
        <v>5.4722222250000001E-2</v>
      </c>
      <c r="V75" s="2">
        <v>0.11527777774999999</v>
      </c>
      <c r="W75" s="2">
        <v>0.10583333333333333</v>
      </c>
    </row>
    <row r="76" spans="1:23">
      <c r="A76" t="s">
        <v>118</v>
      </c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</row>
    <row r="77" spans="1:23">
      <c r="A77" t="s">
        <v>119</v>
      </c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</row>
    <row r="78" spans="1:23">
      <c r="A78" t="s">
        <v>120</v>
      </c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D0823-CD2D-4A78-AC88-C3A87D27D14C}">
  <dimension ref="A1:W75"/>
  <sheetViews>
    <sheetView workbookViewId="0">
      <selection activeCell="B3" sqref="B3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158</v>
      </c>
      <c r="B2" s="2" cm="1">
        <f t="array" ref="B2:W75">MMULT(RecXIngred!B5:BJ78, IngredXNut!B2:W62)/4</f>
        <v>67.5</v>
      </c>
      <c r="C2" s="2">
        <v>18.764423081250001</v>
      </c>
      <c r="D2" s="2">
        <v>5.7563530185000005</v>
      </c>
      <c r="E2" s="2">
        <v>0</v>
      </c>
      <c r="F2" s="2">
        <v>0.85714285499999998</v>
      </c>
      <c r="G2" s="2">
        <v>1.714285713</v>
      </c>
      <c r="H2" s="2">
        <v>0</v>
      </c>
      <c r="I2" s="2">
        <v>230.77056624281249</v>
      </c>
      <c r="J2" s="2">
        <v>18.373263891375</v>
      </c>
      <c r="K2" s="2">
        <v>4.8836805530624998</v>
      </c>
      <c r="L2" s="2">
        <v>8.9375</v>
      </c>
      <c r="M2" s="2">
        <v>7.5</v>
      </c>
      <c r="N2" s="2">
        <v>15.028846151250001</v>
      </c>
      <c r="O2" s="2">
        <v>0</v>
      </c>
      <c r="P2" s="2">
        <v>33.425480767499998</v>
      </c>
      <c r="Q2" s="2">
        <v>4.1069711512499998</v>
      </c>
      <c r="R2" s="2">
        <v>148.51658653250001</v>
      </c>
      <c r="S2" s="2">
        <v>5.0000002500000001E-2</v>
      </c>
      <c r="T2" s="2">
        <v>0.44999999999999996</v>
      </c>
      <c r="U2" s="2">
        <v>22.5</v>
      </c>
      <c r="V2" s="2">
        <v>0</v>
      </c>
      <c r="W2" s="2">
        <v>0</v>
      </c>
    </row>
    <row r="3" spans="1:23">
      <c r="A3" t="s">
        <v>157</v>
      </c>
      <c r="B3" s="2">
        <v>67.5</v>
      </c>
      <c r="C3" s="2">
        <v>17.25</v>
      </c>
      <c r="D3" s="2">
        <v>5.323660716</v>
      </c>
      <c r="E3" s="2">
        <v>0</v>
      </c>
      <c r="F3" s="2">
        <v>0.85714285499999998</v>
      </c>
      <c r="G3" s="2">
        <v>1.714285713</v>
      </c>
      <c r="H3" s="2">
        <v>0</v>
      </c>
      <c r="I3" s="2">
        <v>231.05902777406249</v>
      </c>
      <c r="J3" s="2">
        <v>18.373263891375</v>
      </c>
      <c r="K3" s="2">
        <v>4.8836805530624998</v>
      </c>
      <c r="L3" s="2">
        <v>8.9375</v>
      </c>
      <c r="M3" s="2">
        <v>7.5</v>
      </c>
      <c r="N3" s="2">
        <v>16.5</v>
      </c>
      <c r="O3" s="2">
        <v>0</v>
      </c>
      <c r="P3" s="2">
        <v>12.65625</v>
      </c>
      <c r="Q3" s="2">
        <v>1.9406250037499999</v>
      </c>
      <c r="R3" s="2">
        <v>155.72812499374999</v>
      </c>
      <c r="S3" s="2">
        <v>5.0000002500000001E-2</v>
      </c>
      <c r="T3" s="2">
        <v>0.44999999999999996</v>
      </c>
      <c r="U3" s="2">
        <v>22.5</v>
      </c>
      <c r="V3" s="2">
        <v>0</v>
      </c>
      <c r="W3" s="2">
        <v>0</v>
      </c>
    </row>
    <row r="4" spans="1:23">
      <c r="A4" t="s">
        <v>156</v>
      </c>
      <c r="B4" s="2">
        <v>67.5</v>
      </c>
      <c r="C4" s="2">
        <v>17.25</v>
      </c>
      <c r="D4" s="2">
        <v>5.323660716</v>
      </c>
      <c r="E4" s="2">
        <v>0</v>
      </c>
      <c r="F4" s="2">
        <v>0.85714285499999998</v>
      </c>
      <c r="G4" s="2">
        <v>1.714285713</v>
      </c>
      <c r="H4" s="2">
        <v>0</v>
      </c>
      <c r="I4" s="2">
        <v>148.5590277778125</v>
      </c>
      <c r="J4" s="2">
        <v>18.373263891375</v>
      </c>
      <c r="K4" s="2">
        <v>4.8836805530624998</v>
      </c>
      <c r="L4" s="2">
        <v>8.9375</v>
      </c>
      <c r="M4" s="2">
        <v>7.5</v>
      </c>
      <c r="N4" s="2">
        <v>15.375</v>
      </c>
      <c r="O4" s="2">
        <v>0</v>
      </c>
      <c r="P4" s="2">
        <v>17.15625</v>
      </c>
      <c r="Q4" s="2">
        <v>1.7531249999999998</v>
      </c>
      <c r="R4" s="2">
        <v>146.3531249975</v>
      </c>
      <c r="S4" s="2">
        <v>5.0000002500000001E-2</v>
      </c>
      <c r="T4" s="2">
        <v>0.44999999999999996</v>
      </c>
      <c r="U4" s="2">
        <v>22.5</v>
      </c>
      <c r="V4" s="2">
        <v>0</v>
      </c>
      <c r="W4" s="2">
        <v>0</v>
      </c>
    </row>
    <row r="5" spans="1:23">
      <c r="A5" t="s">
        <v>155</v>
      </c>
      <c r="B5" s="2">
        <v>54.28125</v>
      </c>
      <c r="C5" s="2">
        <v>9</v>
      </c>
      <c r="D5" s="2">
        <v>1.6875</v>
      </c>
      <c r="E5" s="2">
        <v>0</v>
      </c>
      <c r="F5" s="2">
        <v>0</v>
      </c>
      <c r="G5" s="2">
        <v>0</v>
      </c>
      <c r="H5" s="2">
        <v>0</v>
      </c>
      <c r="I5" s="2">
        <v>134.69618055562501</v>
      </c>
      <c r="J5" s="2">
        <v>15.796527780437501</v>
      </c>
      <c r="K5" s="2">
        <v>4.5027777751249998</v>
      </c>
      <c r="L5" s="2">
        <v>6.65625</v>
      </c>
      <c r="M5" s="2">
        <v>5.5</v>
      </c>
      <c r="N5" s="2">
        <v>14.3</v>
      </c>
      <c r="O5" s="2">
        <v>0</v>
      </c>
      <c r="P5" s="2">
        <v>14.625</v>
      </c>
      <c r="Q5" s="2">
        <v>1.6375</v>
      </c>
      <c r="R5" s="2">
        <v>118.089166664</v>
      </c>
      <c r="S5" s="2">
        <v>5.3333336000000002E-2</v>
      </c>
      <c r="T5" s="2">
        <v>0.48</v>
      </c>
      <c r="U5" s="2">
        <v>24</v>
      </c>
      <c r="V5" s="2">
        <v>0</v>
      </c>
      <c r="W5" s="2">
        <v>0</v>
      </c>
    </row>
    <row r="6" spans="1:23">
      <c r="A6" t="s">
        <v>154</v>
      </c>
      <c r="B6" s="2">
        <v>38.84375</v>
      </c>
      <c r="C6" s="2">
        <v>9.5576923100000002</v>
      </c>
      <c r="D6" s="2">
        <v>6.3914835167500001</v>
      </c>
      <c r="E6" s="2">
        <v>0</v>
      </c>
      <c r="F6" s="2">
        <v>0.98214285374999988</v>
      </c>
      <c r="G6" s="2">
        <v>1.4285714275000001</v>
      </c>
      <c r="H6" s="2">
        <v>0</v>
      </c>
      <c r="I6" s="2">
        <v>119.47983440362501</v>
      </c>
      <c r="J6" s="2">
        <v>8.9131944461250008</v>
      </c>
      <c r="K6" s="2">
        <v>1.715277776125</v>
      </c>
      <c r="L6" s="2">
        <v>5.03125</v>
      </c>
      <c r="M6" s="2">
        <v>5</v>
      </c>
      <c r="N6" s="2">
        <v>8.3153846139999992</v>
      </c>
      <c r="O6" s="2">
        <v>0</v>
      </c>
      <c r="P6" s="2">
        <v>12.676923076</v>
      </c>
      <c r="Q6" s="2">
        <v>2.1053846140000001</v>
      </c>
      <c r="R6" s="2">
        <v>4.1705128170000005</v>
      </c>
      <c r="S6" s="2">
        <v>3.3333334999999999E-2</v>
      </c>
      <c r="T6" s="2">
        <v>0.3</v>
      </c>
      <c r="U6" s="2">
        <v>15</v>
      </c>
      <c r="V6" s="2">
        <v>0</v>
      </c>
      <c r="W6" s="2">
        <v>0</v>
      </c>
    </row>
    <row r="7" spans="1:23">
      <c r="A7" t="s">
        <v>153</v>
      </c>
      <c r="B7" s="2">
        <v>77.53125</v>
      </c>
      <c r="C7" s="2">
        <v>20.026041666656248</v>
      </c>
      <c r="D7" s="2">
        <v>12.590178577500001</v>
      </c>
      <c r="E7" s="2">
        <v>0</v>
      </c>
      <c r="F7" s="2">
        <v>1.9642857074999998</v>
      </c>
      <c r="G7" s="2">
        <v>2.8571428550000002</v>
      </c>
      <c r="H7" s="2">
        <v>0</v>
      </c>
      <c r="I7" s="2">
        <v>149.47222222228126</v>
      </c>
      <c r="J7" s="2">
        <v>13.439236113218749</v>
      </c>
      <c r="K7" s="2">
        <v>0.77256944237500003</v>
      </c>
      <c r="L7" s="2">
        <v>7.7499999983437498</v>
      </c>
      <c r="M7" s="2">
        <v>7.5</v>
      </c>
      <c r="N7" s="2">
        <v>16.795833331656251</v>
      </c>
      <c r="O7" s="2">
        <v>0</v>
      </c>
      <c r="P7" s="2">
        <v>17.604166666656251</v>
      </c>
      <c r="Q7" s="2">
        <v>1.606041665</v>
      </c>
      <c r="R7" s="2">
        <v>33.354166666250002</v>
      </c>
      <c r="S7" s="2">
        <v>4.1666668750000004E-2</v>
      </c>
      <c r="T7" s="2">
        <v>0.375</v>
      </c>
      <c r="U7" s="2">
        <v>18.75</v>
      </c>
      <c r="V7" s="2">
        <v>0</v>
      </c>
      <c r="W7" s="2">
        <v>0.13125000000000001</v>
      </c>
    </row>
    <row r="8" spans="1:23">
      <c r="A8" t="s">
        <v>152</v>
      </c>
      <c r="B8" s="2">
        <v>81.75</v>
      </c>
      <c r="C8" s="2">
        <v>22.427884618749999</v>
      </c>
      <c r="D8" s="2">
        <v>11.06868132</v>
      </c>
      <c r="E8" s="2">
        <v>0</v>
      </c>
      <c r="F8" s="2">
        <v>2.3214285649999997</v>
      </c>
      <c r="G8" s="2">
        <v>4.2857142824999999</v>
      </c>
      <c r="H8" s="2">
        <v>0</v>
      </c>
      <c r="I8" s="2">
        <v>213.40411325062502</v>
      </c>
      <c r="J8" s="2">
        <v>11.444444446125001</v>
      </c>
      <c r="K8" s="2">
        <v>3.4652777761250002</v>
      </c>
      <c r="L8" s="2">
        <v>6.3124999974999998</v>
      </c>
      <c r="M8" s="2">
        <v>6</v>
      </c>
      <c r="N8" s="2">
        <v>15.980769226250001</v>
      </c>
      <c r="O8" s="2">
        <v>0</v>
      </c>
      <c r="P8" s="2">
        <v>34.653846152500002</v>
      </c>
      <c r="Q8" s="2">
        <v>3.3807692262499995</v>
      </c>
      <c r="R8" s="2">
        <v>56.699358972500008</v>
      </c>
      <c r="S8" s="2">
        <v>3.3333334999999999E-2</v>
      </c>
      <c r="T8" s="2">
        <v>0.3</v>
      </c>
      <c r="U8" s="2">
        <v>15</v>
      </c>
      <c r="V8" s="2">
        <v>0</v>
      </c>
      <c r="W8" s="2">
        <v>0</v>
      </c>
    </row>
    <row r="9" spans="1:23">
      <c r="A9" t="s">
        <v>151</v>
      </c>
      <c r="B9" s="2">
        <v>81.21875</v>
      </c>
      <c r="C9" s="2">
        <v>21.210267490406249</v>
      </c>
      <c r="D9" s="2">
        <v>14.836164287500001</v>
      </c>
      <c r="E9" s="2">
        <v>0</v>
      </c>
      <c r="F9" s="2">
        <v>0.78749999999999998</v>
      </c>
      <c r="G9" s="2">
        <v>1.4875</v>
      </c>
      <c r="H9" s="2">
        <v>0</v>
      </c>
      <c r="I9" s="2">
        <v>299.26522436165624</v>
      </c>
      <c r="J9" s="2">
        <v>13.359252448343749</v>
      </c>
      <c r="K9" s="2">
        <v>0.86121323750000001</v>
      </c>
      <c r="L9" s="2">
        <v>6.32291666459375</v>
      </c>
      <c r="M9" s="2">
        <v>6</v>
      </c>
      <c r="N9" s="2">
        <v>16.855033931656248</v>
      </c>
      <c r="O9" s="2">
        <v>0</v>
      </c>
      <c r="P9" s="2">
        <v>34.081542229156248</v>
      </c>
      <c r="Q9" s="2">
        <v>3.6071540275</v>
      </c>
      <c r="R9" s="2">
        <v>56.143476621250009</v>
      </c>
      <c r="S9" s="2">
        <v>4.4117647499999996E-2</v>
      </c>
      <c r="T9" s="2">
        <v>0.22058823750000001</v>
      </c>
      <c r="U9" s="2">
        <v>28.014705885000001</v>
      </c>
      <c r="V9" s="2">
        <v>0</v>
      </c>
      <c r="W9" s="2">
        <v>0.13125000000000001</v>
      </c>
    </row>
    <row r="10" spans="1:23">
      <c r="A10" t="s">
        <v>150</v>
      </c>
      <c r="B10" s="2">
        <v>77.46875</v>
      </c>
      <c r="C10" s="2">
        <v>16.025942082906251</v>
      </c>
      <c r="D10" s="2">
        <v>12.5957644425</v>
      </c>
      <c r="E10" s="2">
        <v>0</v>
      </c>
      <c r="F10" s="2">
        <v>0.67499999999999993</v>
      </c>
      <c r="G10" s="2">
        <v>1.2750000000000001</v>
      </c>
      <c r="H10" s="2">
        <v>0</v>
      </c>
      <c r="I10" s="2">
        <v>430.03445512790626</v>
      </c>
      <c r="J10" s="2">
        <v>9.2217524483437501</v>
      </c>
      <c r="K10" s="2">
        <v>2.7362132374999999</v>
      </c>
      <c r="L10" s="2">
        <v>3.14583333334375</v>
      </c>
      <c r="M10" s="2">
        <v>3</v>
      </c>
      <c r="N10" s="2">
        <v>19.44477752290625</v>
      </c>
      <c r="O10" s="2">
        <v>0</v>
      </c>
      <c r="P10" s="2">
        <v>22.196926844156248</v>
      </c>
      <c r="Q10" s="2">
        <v>4.3343976225</v>
      </c>
      <c r="R10" s="2">
        <v>29.332579178750002</v>
      </c>
      <c r="S10" s="2">
        <v>4.4117647499999996E-2</v>
      </c>
      <c r="T10" s="2">
        <v>0.22058823750000001</v>
      </c>
      <c r="U10" s="2">
        <v>28.014705885000001</v>
      </c>
      <c r="V10" s="2">
        <v>0</v>
      </c>
      <c r="W10" s="2">
        <v>0.13125000000000001</v>
      </c>
    </row>
    <row r="11" spans="1:23">
      <c r="A11" t="s">
        <v>149</v>
      </c>
      <c r="B11" s="2">
        <v>71.3125</v>
      </c>
      <c r="C11" s="2">
        <v>17.557166463312498</v>
      </c>
      <c r="D11" s="2">
        <v>7.9315704025000002</v>
      </c>
      <c r="E11" s="2">
        <v>0</v>
      </c>
      <c r="F11" s="2">
        <v>1.9446428549999999</v>
      </c>
      <c r="G11" s="2">
        <v>4.9232142825</v>
      </c>
      <c r="H11" s="2">
        <v>0</v>
      </c>
      <c r="I11" s="2">
        <v>413.29273504893746</v>
      </c>
      <c r="J11" s="2">
        <v>17.223794931124999</v>
      </c>
      <c r="K11" s="2">
        <v>0.37502042778125</v>
      </c>
      <c r="L11" s="2">
        <v>9.1458333333437505</v>
      </c>
      <c r="M11" s="2">
        <v>9</v>
      </c>
      <c r="N11" s="2">
        <v>16.277384986656251</v>
      </c>
      <c r="O11" s="2">
        <v>0</v>
      </c>
      <c r="P11" s="2">
        <v>39.000282800000001</v>
      </c>
      <c r="Q11" s="2">
        <v>5.9822256700000001</v>
      </c>
      <c r="R11" s="2">
        <v>20.904977370000001</v>
      </c>
      <c r="S11" s="2">
        <v>5.8823529999999999E-2</v>
      </c>
      <c r="T11" s="2">
        <v>0.29411765000000001</v>
      </c>
      <c r="U11" s="2">
        <v>37.352941180000002</v>
      </c>
      <c r="V11" s="2">
        <v>0</v>
      </c>
      <c r="W11" s="2">
        <v>0.26250000000000001</v>
      </c>
    </row>
    <row r="12" spans="1:23">
      <c r="A12" t="s">
        <v>148</v>
      </c>
      <c r="B12" s="2">
        <v>82.075000000000003</v>
      </c>
      <c r="C12" s="2">
        <v>23.115876666237501</v>
      </c>
      <c r="D12" s="2">
        <v>11.711408557499999</v>
      </c>
      <c r="E12" s="2">
        <v>0</v>
      </c>
      <c r="F12" s="2">
        <v>2.3484890090250001</v>
      </c>
      <c r="G12" s="2">
        <v>5.7953296663999998</v>
      </c>
      <c r="H12" s="2">
        <v>0</v>
      </c>
      <c r="I12" s="2">
        <v>259.66533119643748</v>
      </c>
      <c r="J12" s="2">
        <v>9.8459056054375012</v>
      </c>
      <c r="K12" s="2">
        <v>1.14544369195</v>
      </c>
      <c r="L12" s="2">
        <v>5.2916666654375</v>
      </c>
      <c r="M12" s="2">
        <v>5</v>
      </c>
      <c r="N12" s="2">
        <v>20.276234914137504</v>
      </c>
      <c r="O12" s="2">
        <v>0</v>
      </c>
      <c r="P12" s="2">
        <v>28.793174959162499</v>
      </c>
      <c r="Q12" s="2">
        <v>3.5724151565249995</v>
      </c>
      <c r="R12" s="2">
        <v>59.717251128599997</v>
      </c>
      <c r="S12" s="2">
        <v>2.2058823749999998E-2</v>
      </c>
      <c r="T12" s="2">
        <v>0.11029411875</v>
      </c>
      <c r="U12" s="2">
        <v>14.007352942500001</v>
      </c>
      <c r="V12" s="2">
        <v>0</v>
      </c>
      <c r="W12" s="2">
        <v>0.26250000000000001</v>
      </c>
    </row>
    <row r="13" spans="1:23">
      <c r="A13" t="s">
        <v>147</v>
      </c>
      <c r="B13" s="2">
        <v>76.875</v>
      </c>
      <c r="C13" s="2">
        <v>18.713116587406251</v>
      </c>
      <c r="D13" s="2">
        <v>11.192967622499999</v>
      </c>
      <c r="E13" s="2">
        <v>0</v>
      </c>
      <c r="F13" s="2">
        <v>1.7685439547499999</v>
      </c>
      <c r="G13" s="2">
        <v>4.2561813160000002</v>
      </c>
      <c r="H13" s="2">
        <v>0</v>
      </c>
      <c r="I13" s="2">
        <v>277.76869658103124</v>
      </c>
      <c r="J13" s="2">
        <v>6.5601200532187507</v>
      </c>
      <c r="K13" s="2">
        <v>0.98337831662500008</v>
      </c>
      <c r="L13" s="2">
        <v>3.11458333334375</v>
      </c>
      <c r="M13" s="2">
        <v>3</v>
      </c>
      <c r="N13" s="2">
        <v>22.60901231340625</v>
      </c>
      <c r="O13" s="2">
        <v>0</v>
      </c>
      <c r="P13" s="2">
        <v>24.029267880656256</v>
      </c>
      <c r="Q13" s="2">
        <v>3.7867771584999996</v>
      </c>
      <c r="R13" s="2">
        <v>38.675649456499997</v>
      </c>
      <c r="S13" s="2">
        <v>0</v>
      </c>
      <c r="T13" s="2">
        <v>0</v>
      </c>
      <c r="U13" s="2">
        <v>0</v>
      </c>
      <c r="V13" s="2">
        <v>0</v>
      </c>
      <c r="W13" s="2">
        <v>0.13125000000000001</v>
      </c>
    </row>
    <row r="14" spans="1:23">
      <c r="A14" t="s">
        <v>146</v>
      </c>
      <c r="B14" s="2">
        <v>72.71875</v>
      </c>
      <c r="C14" s="2">
        <v>15.709335379062502</v>
      </c>
      <c r="D14" s="2">
        <v>10.714258829999999</v>
      </c>
      <c r="E14" s="2">
        <v>0</v>
      </c>
      <c r="F14" s="2">
        <v>0.69742788474999995</v>
      </c>
      <c r="G14" s="2">
        <v>1.3994551276562501</v>
      </c>
      <c r="H14" s="2">
        <v>0</v>
      </c>
      <c r="I14" s="2">
        <v>286.92174946603126</v>
      </c>
      <c r="J14" s="2">
        <v>4.7022088682187499</v>
      </c>
      <c r="K14" s="2">
        <v>0.90339476537499996</v>
      </c>
      <c r="L14" s="2">
        <v>3.2411458320937498</v>
      </c>
      <c r="M14" s="2">
        <v>3</v>
      </c>
      <c r="N14" s="2">
        <v>23.856153843000001</v>
      </c>
      <c r="O14" s="2">
        <v>0</v>
      </c>
      <c r="P14" s="2">
        <v>33.127804484718752</v>
      </c>
      <c r="Q14" s="2">
        <v>4.17661057640625</v>
      </c>
      <c r="R14" s="2">
        <v>49.763621790562496</v>
      </c>
      <c r="S14" s="2">
        <v>1.0416665625E-4</v>
      </c>
      <c r="T14" s="2">
        <v>9.3749999999999997E-4</v>
      </c>
      <c r="U14" s="2">
        <v>2.0520833343749999E-2</v>
      </c>
      <c r="V14" s="2">
        <v>4.3229166656249998E-2</v>
      </c>
      <c r="W14" s="2">
        <v>0.17093750000000002</v>
      </c>
    </row>
    <row r="15" spans="1:23">
      <c r="A15" t="s">
        <v>60</v>
      </c>
      <c r="B15" s="2">
        <v>86.25</v>
      </c>
      <c r="C15" s="2">
        <v>25.621036282812497</v>
      </c>
      <c r="D15" s="2">
        <v>8.5400868924999997</v>
      </c>
      <c r="E15" s="2">
        <v>0</v>
      </c>
      <c r="F15" s="2">
        <v>3.15099930975</v>
      </c>
      <c r="G15" s="2">
        <v>8.117312265156249</v>
      </c>
      <c r="H15" s="2">
        <v>0</v>
      </c>
      <c r="I15" s="2">
        <v>204.29835203228123</v>
      </c>
      <c r="J15" s="2">
        <v>18.05209921984375</v>
      </c>
      <c r="K15" s="2">
        <v>4.2499408166250001</v>
      </c>
      <c r="L15" s="2">
        <v>9.3036458308437506</v>
      </c>
      <c r="M15" s="2">
        <v>9</v>
      </c>
      <c r="N15" s="2">
        <v>15.772057182999998</v>
      </c>
      <c r="O15" s="2">
        <v>0</v>
      </c>
      <c r="P15" s="2">
        <v>49.591367239718743</v>
      </c>
      <c r="Q15" s="2">
        <v>5.2313845251562503</v>
      </c>
      <c r="R15" s="2">
        <v>433.34151484681252</v>
      </c>
      <c r="S15" s="2">
        <v>1.0416665625E-4</v>
      </c>
      <c r="T15" s="2">
        <v>9.3749999999999997E-4</v>
      </c>
      <c r="U15" s="2">
        <v>2.0520833343749999E-2</v>
      </c>
      <c r="V15" s="2">
        <v>4.3229166656249998E-2</v>
      </c>
      <c r="W15" s="2">
        <v>0.17093750000000002</v>
      </c>
    </row>
    <row r="16" spans="1:23">
      <c r="A16" t="s">
        <v>61</v>
      </c>
      <c r="B16" s="2">
        <v>79.8125</v>
      </c>
      <c r="C16" s="2">
        <v>24.837106129062501</v>
      </c>
      <c r="D16" s="2">
        <v>11.873908557499998</v>
      </c>
      <c r="E16" s="2">
        <v>0</v>
      </c>
      <c r="F16" s="2">
        <v>2.3045707397499999</v>
      </c>
      <c r="G16" s="2">
        <v>5.6851694101562495</v>
      </c>
      <c r="H16" s="2">
        <v>0</v>
      </c>
      <c r="I16" s="2">
        <v>259.29835202978126</v>
      </c>
      <c r="J16" s="2">
        <v>15.497822904843751</v>
      </c>
      <c r="K16" s="2">
        <v>2.243361867875</v>
      </c>
      <c r="L16" s="2">
        <v>7.8348958308437497</v>
      </c>
      <c r="M16" s="2">
        <v>7.5</v>
      </c>
      <c r="N16" s="2">
        <v>15.864162446749997</v>
      </c>
      <c r="O16" s="2">
        <v>0</v>
      </c>
      <c r="P16" s="2">
        <v>35.670314609718744</v>
      </c>
      <c r="Q16" s="2">
        <v>3.20506873640625</v>
      </c>
      <c r="R16" s="2">
        <v>101.59809379306252</v>
      </c>
      <c r="S16" s="2">
        <v>1.0416665625E-4</v>
      </c>
      <c r="T16" s="2">
        <v>9.3749999999999997E-4</v>
      </c>
      <c r="U16" s="2">
        <v>2.0520833343749999E-2</v>
      </c>
      <c r="V16" s="2">
        <v>4.3229166656249998E-2</v>
      </c>
      <c r="W16" s="2">
        <v>0.17093750000000002</v>
      </c>
    </row>
    <row r="17" spans="1:23">
      <c r="A17" t="s">
        <v>62</v>
      </c>
      <c r="B17" s="2">
        <v>79</v>
      </c>
      <c r="C17" s="2">
        <v>17.994364437406251</v>
      </c>
      <c r="D17" s="2">
        <v>11.110666459999999</v>
      </c>
      <c r="E17" s="2">
        <v>0</v>
      </c>
      <c r="F17" s="2">
        <v>1.7685439547499999</v>
      </c>
      <c r="G17" s="2">
        <v>4.2561813160000002</v>
      </c>
      <c r="H17" s="2">
        <v>15.254237295000001</v>
      </c>
      <c r="I17" s="2">
        <v>266.60887475728123</v>
      </c>
      <c r="J17" s="2">
        <v>27.529262187593751</v>
      </c>
      <c r="K17" s="2">
        <v>4.0149572626249999</v>
      </c>
      <c r="L17" s="2">
        <v>19.62305790834375</v>
      </c>
      <c r="M17" s="2">
        <v>19</v>
      </c>
      <c r="N17" s="2">
        <v>12.931053075906249</v>
      </c>
      <c r="O17" s="2">
        <v>0</v>
      </c>
      <c r="P17" s="2">
        <v>5.8473218231562498</v>
      </c>
      <c r="Q17" s="2">
        <v>0.35399038475</v>
      </c>
      <c r="R17" s="2">
        <v>157.48534713375</v>
      </c>
      <c r="S17" s="2">
        <v>5.00000025E-3</v>
      </c>
      <c r="T17" s="2">
        <v>4.4999999999999998E-2</v>
      </c>
      <c r="U17" s="2">
        <v>2.25</v>
      </c>
      <c r="V17" s="2">
        <v>0</v>
      </c>
      <c r="W17" s="2">
        <v>0.13125000000000001</v>
      </c>
    </row>
    <row r="18" spans="1:23">
      <c r="A18" t="s">
        <v>63</v>
      </c>
      <c r="B18" s="2">
        <v>79.875</v>
      </c>
      <c r="C18" s="2">
        <v>21.58993397740625</v>
      </c>
      <c r="D18" s="2">
        <v>11.264018450749999</v>
      </c>
      <c r="E18" s="2">
        <v>0</v>
      </c>
      <c r="F18" s="2">
        <v>1.8221153832499999</v>
      </c>
      <c r="G18" s="2">
        <v>4.3990384587499998</v>
      </c>
      <c r="H18" s="2">
        <v>0</v>
      </c>
      <c r="I18" s="2">
        <v>204.47222221978126</v>
      </c>
      <c r="J18" s="2">
        <v>18.919482149843752</v>
      </c>
      <c r="K18" s="2">
        <v>1.4480455028750001</v>
      </c>
      <c r="L18" s="2">
        <v>10.867708330843749</v>
      </c>
      <c r="M18" s="2">
        <v>10.5</v>
      </c>
      <c r="N18" s="2">
        <v>15.57602752340625</v>
      </c>
      <c r="O18" s="2">
        <v>0</v>
      </c>
      <c r="P18" s="2">
        <v>22.120003768156252</v>
      </c>
      <c r="Q18" s="2">
        <v>1.8526668522499998</v>
      </c>
      <c r="R18" s="2">
        <v>84.332579186499999</v>
      </c>
      <c r="S18" s="2">
        <v>4.4117647499999996E-2</v>
      </c>
      <c r="T18" s="2">
        <v>0.22058823750000001</v>
      </c>
      <c r="U18" s="2">
        <v>28.014705885000001</v>
      </c>
      <c r="V18" s="2">
        <v>0</v>
      </c>
      <c r="W18" s="2">
        <v>0.13125000000000001</v>
      </c>
    </row>
    <row r="19" spans="1:23">
      <c r="A19" t="s">
        <v>64</v>
      </c>
      <c r="B19" s="2">
        <v>78.6875</v>
      </c>
      <c r="C19" s="2">
        <v>19.310975441562498</v>
      </c>
      <c r="D19" s="2">
        <v>14.374625830000001</v>
      </c>
      <c r="E19" s="2">
        <v>0</v>
      </c>
      <c r="F19" s="2">
        <v>0.92242788475000004</v>
      </c>
      <c r="G19" s="2">
        <v>1.82445512765625</v>
      </c>
      <c r="H19" s="2">
        <v>0</v>
      </c>
      <c r="I19" s="2">
        <v>204.49065971978123</v>
      </c>
      <c r="J19" s="2">
        <v>19.521816707343749</v>
      </c>
      <c r="K19" s="2">
        <v>1.2124021216250001</v>
      </c>
      <c r="L19" s="2">
        <v>9.2098958320937498</v>
      </c>
      <c r="M19" s="2">
        <v>9</v>
      </c>
      <c r="N19" s="2">
        <v>15.028368210499998</v>
      </c>
      <c r="O19" s="2">
        <v>0</v>
      </c>
      <c r="P19" s="2">
        <v>16.15156013971875</v>
      </c>
      <c r="Q19" s="2">
        <v>1.97523425390625</v>
      </c>
      <c r="R19" s="2">
        <v>65.333804675562504</v>
      </c>
      <c r="S19" s="2">
        <v>6.6280637906249995E-2</v>
      </c>
      <c r="T19" s="2">
        <v>0.33181985624999999</v>
      </c>
      <c r="U19" s="2">
        <v>42.042579660843757</v>
      </c>
      <c r="V19" s="2">
        <v>4.3229166656249998E-2</v>
      </c>
      <c r="W19" s="2">
        <v>0.17093750000000002</v>
      </c>
    </row>
    <row r="20" spans="1:23">
      <c r="A20" t="s">
        <v>65</v>
      </c>
      <c r="B20" s="2">
        <v>92.71875</v>
      </c>
      <c r="C20" s="2">
        <v>22.720841785625002</v>
      </c>
      <c r="D20" s="2">
        <v>11.509554164999999</v>
      </c>
      <c r="E20" s="2">
        <v>0</v>
      </c>
      <c r="F20" s="2">
        <v>2.273976647</v>
      </c>
      <c r="G20" s="2">
        <v>4.6752838803125005</v>
      </c>
      <c r="H20" s="2">
        <v>0</v>
      </c>
      <c r="I20" s="2">
        <v>205.42229166425</v>
      </c>
      <c r="J20" s="2">
        <v>26.544615385</v>
      </c>
      <c r="K20" s="2">
        <v>3.41285256434375</v>
      </c>
      <c r="L20" s="2">
        <v>9.898958330843751</v>
      </c>
      <c r="M20" s="2">
        <v>9</v>
      </c>
      <c r="N20" s="2">
        <v>17.559102561843748</v>
      </c>
      <c r="O20" s="2">
        <v>0</v>
      </c>
      <c r="P20" s="2">
        <v>32.840544871125005</v>
      </c>
      <c r="Q20" s="2">
        <v>2.2590064103124998</v>
      </c>
      <c r="R20" s="2">
        <v>149.641025641125</v>
      </c>
      <c r="S20" s="2">
        <v>0.11270833331250001</v>
      </c>
      <c r="T20" s="2">
        <v>1.8749999999999999E-3</v>
      </c>
      <c r="U20" s="2">
        <v>4.1041666687499999E-2</v>
      </c>
      <c r="V20" s="2">
        <v>73.211458333312507</v>
      </c>
      <c r="W20" s="2">
        <v>22.841875000000002</v>
      </c>
    </row>
    <row r="21" spans="1:23">
      <c r="A21" t="s">
        <v>66</v>
      </c>
      <c r="B21" s="2">
        <v>86.53125</v>
      </c>
      <c r="C21" s="2">
        <v>18.979849588875002</v>
      </c>
      <c r="D21" s="2">
        <v>14.779436568000001</v>
      </c>
      <c r="E21" s="2">
        <v>0</v>
      </c>
      <c r="F21" s="2">
        <v>1.3202403847499999</v>
      </c>
      <c r="G21" s="2">
        <v>2.2423717943125001</v>
      </c>
      <c r="H21" s="2">
        <v>0</v>
      </c>
      <c r="I21" s="2">
        <v>205.42229166425</v>
      </c>
      <c r="J21" s="2">
        <v>25.7453576270625</v>
      </c>
      <c r="K21" s="2">
        <v>3.0727715900937498</v>
      </c>
      <c r="L21" s="2">
        <v>9.4614583333437494</v>
      </c>
      <c r="M21" s="2">
        <v>9</v>
      </c>
      <c r="N21" s="2">
        <v>16.22889001509375</v>
      </c>
      <c r="O21" s="2">
        <v>0</v>
      </c>
      <c r="P21" s="2">
        <v>18.402285764624999</v>
      </c>
      <c r="Q21" s="2">
        <v>1.9828171380624999</v>
      </c>
      <c r="R21" s="2">
        <v>106.759952767125</v>
      </c>
      <c r="S21" s="2">
        <v>7.52083333125E-2</v>
      </c>
      <c r="T21" s="2">
        <v>1.8749999999999999E-3</v>
      </c>
      <c r="U21" s="2">
        <v>4.1041666687499999E-2</v>
      </c>
      <c r="V21" s="2">
        <v>48.8364583333125</v>
      </c>
      <c r="W21" s="2">
        <v>15.341875</v>
      </c>
    </row>
    <row r="22" spans="1:23">
      <c r="A22" t="s">
        <v>67</v>
      </c>
      <c r="B22" s="2">
        <v>81.75</v>
      </c>
      <c r="C22" s="2">
        <v>18.980087068218751</v>
      </c>
      <c r="D22" s="2">
        <v>12.876464994499999</v>
      </c>
      <c r="E22" s="2">
        <v>0</v>
      </c>
      <c r="F22" s="2">
        <v>1.5959546697499998</v>
      </c>
      <c r="G22" s="2">
        <v>3.2909432218125003</v>
      </c>
      <c r="H22" s="2">
        <v>0</v>
      </c>
      <c r="I22" s="2">
        <v>197.91187500209375</v>
      </c>
      <c r="J22" s="2">
        <v>22.463285259593746</v>
      </c>
      <c r="K22" s="2">
        <v>1.8203044850937502</v>
      </c>
      <c r="L22" s="2">
        <v>9.3156250000000007</v>
      </c>
      <c r="M22" s="2">
        <v>9</v>
      </c>
      <c r="N22" s="2">
        <v>13.415512819437499</v>
      </c>
      <c r="O22" s="2">
        <v>0</v>
      </c>
      <c r="P22" s="2">
        <v>24.640224356968751</v>
      </c>
      <c r="Q22" s="2">
        <v>3.1460737165624999</v>
      </c>
      <c r="R22" s="2">
        <v>54.02179486762499</v>
      </c>
      <c r="S22" s="2">
        <v>0.10020833581250001</v>
      </c>
      <c r="T22" s="2">
        <v>0.45187499999999997</v>
      </c>
      <c r="U22" s="2">
        <v>22.541041666687502</v>
      </c>
      <c r="V22" s="2">
        <v>32.5864583333125</v>
      </c>
      <c r="W22" s="2">
        <v>10.210625</v>
      </c>
    </row>
    <row r="23" spans="1:23">
      <c r="A23" t="s">
        <v>68</v>
      </c>
      <c r="B23" s="2">
        <v>79.65625</v>
      </c>
      <c r="C23" s="2">
        <v>18.391514863625002</v>
      </c>
      <c r="D23" s="2">
        <v>10.993929164999999</v>
      </c>
      <c r="E23" s="2">
        <v>0</v>
      </c>
      <c r="F23" s="2">
        <v>2.05041895475</v>
      </c>
      <c r="G23" s="2">
        <v>4.5382646493125005</v>
      </c>
      <c r="H23" s="2">
        <v>0</v>
      </c>
      <c r="I23" s="2">
        <v>205.42229166425</v>
      </c>
      <c r="J23" s="2">
        <v>20.468493591687498</v>
      </c>
      <c r="K23" s="2">
        <v>2.08592948759375</v>
      </c>
      <c r="L23" s="2">
        <v>9.3677083333437494</v>
      </c>
      <c r="M23" s="2">
        <v>9</v>
      </c>
      <c r="N23" s="2">
        <v>15.075929486343748</v>
      </c>
      <c r="O23" s="2">
        <v>0</v>
      </c>
      <c r="P23" s="2">
        <v>14.244391023374998</v>
      </c>
      <c r="Q23" s="2">
        <v>1.7698237193124999</v>
      </c>
      <c r="R23" s="2">
        <v>77.559294869624992</v>
      </c>
      <c r="S23" s="2">
        <v>5.6458333312500004E-2</v>
      </c>
      <c r="T23" s="2">
        <v>1.8749999999999999E-3</v>
      </c>
      <c r="U23" s="2">
        <v>4.1041666687499999E-2</v>
      </c>
      <c r="V23" s="2">
        <v>36.6489583333125</v>
      </c>
      <c r="W23" s="2">
        <v>11.591875</v>
      </c>
    </row>
    <row r="24" spans="1:23">
      <c r="A24" t="s">
        <v>69</v>
      </c>
      <c r="B24" s="2">
        <v>74.5625</v>
      </c>
      <c r="C24" s="2">
        <v>16.398486021250001</v>
      </c>
      <c r="D24" s="2">
        <v>10.805536304499999</v>
      </c>
      <c r="E24" s="2">
        <v>0</v>
      </c>
      <c r="F24" s="2">
        <v>1.380089285125</v>
      </c>
      <c r="G24" s="2">
        <v>2.9606547603125</v>
      </c>
      <c r="H24" s="2">
        <v>0</v>
      </c>
      <c r="I24" s="2">
        <v>197.0195138909375</v>
      </c>
      <c r="J24" s="2">
        <v>20.297152780875003</v>
      </c>
      <c r="K24" s="2">
        <v>1.9088194448125002</v>
      </c>
      <c r="L24" s="2">
        <v>9.4718750000000007</v>
      </c>
      <c r="M24" s="2">
        <v>9.25</v>
      </c>
      <c r="N24" s="2">
        <v>13.174166663062499</v>
      </c>
      <c r="O24" s="2">
        <v>0</v>
      </c>
      <c r="P24" s="2">
        <v>24.531249995562504</v>
      </c>
      <c r="Q24" s="2">
        <v>2.8783333294375</v>
      </c>
      <c r="R24" s="2">
        <v>66.645833331624999</v>
      </c>
      <c r="S24" s="2">
        <v>3.1458333312500003E-2</v>
      </c>
      <c r="T24" s="2">
        <v>1.8749999999999999E-3</v>
      </c>
      <c r="U24" s="2">
        <v>4.1041666687499999E-2</v>
      </c>
      <c r="V24" s="2">
        <v>20.3989583333125</v>
      </c>
      <c r="W24" s="2">
        <v>6.5918749999999999</v>
      </c>
    </row>
    <row r="25" spans="1:23">
      <c r="A25" t="s">
        <v>70</v>
      </c>
      <c r="B25" s="2">
        <v>78.498750000000001</v>
      </c>
      <c r="C25" s="2">
        <v>19.289109503476251</v>
      </c>
      <c r="D25" s="2">
        <v>12.851945765</v>
      </c>
      <c r="E25" s="2">
        <v>0</v>
      </c>
      <c r="F25" s="2">
        <v>1.2130219773099999</v>
      </c>
      <c r="G25" s="2">
        <v>2.7093406582600004</v>
      </c>
      <c r="H25" s="2">
        <v>0</v>
      </c>
      <c r="I25" s="2">
        <v>177.77884615509376</v>
      </c>
      <c r="J25" s="2">
        <v>21.740705133206248</v>
      </c>
      <c r="K25" s="2">
        <v>0.97046473861750004</v>
      </c>
      <c r="L25" s="2">
        <v>9.2239583320937495</v>
      </c>
      <c r="M25" s="2">
        <v>9</v>
      </c>
      <c r="N25" s="2">
        <v>11.27070512608625</v>
      </c>
      <c r="O25" s="2">
        <v>0</v>
      </c>
      <c r="P25" s="2">
        <v>17.573397435296254</v>
      </c>
      <c r="Q25" s="2">
        <v>2.3387980748100001</v>
      </c>
      <c r="R25" s="2">
        <v>26.020384610490002</v>
      </c>
      <c r="S25" s="2">
        <v>0.100000005</v>
      </c>
      <c r="T25" s="2">
        <v>0.89999999999999991</v>
      </c>
      <c r="U25" s="2">
        <v>45</v>
      </c>
      <c r="V25" s="2">
        <v>0</v>
      </c>
      <c r="W25" s="2">
        <v>0.13125000000000001</v>
      </c>
    </row>
    <row r="26" spans="1:23">
      <c r="A26" t="s">
        <v>71</v>
      </c>
      <c r="B26" s="2">
        <v>68.5625</v>
      </c>
      <c r="C26" s="2">
        <v>24.104319352499999</v>
      </c>
      <c r="D26" s="2">
        <v>11.816697019499999</v>
      </c>
      <c r="E26" s="2">
        <v>0</v>
      </c>
      <c r="F26" s="2">
        <v>2.1696428550000002</v>
      </c>
      <c r="G26" s="2">
        <v>5.3482142824999999</v>
      </c>
      <c r="H26" s="2">
        <v>0</v>
      </c>
      <c r="I26" s="2">
        <v>423.17708333543749</v>
      </c>
      <c r="J26" s="2">
        <v>15.354166669187499</v>
      </c>
      <c r="K26" s="2">
        <v>1.3229166641875001</v>
      </c>
      <c r="L26" s="2">
        <v>6.3281249974999998</v>
      </c>
      <c r="M26" s="2">
        <v>6</v>
      </c>
      <c r="N26" s="2">
        <v>13.499999996</v>
      </c>
      <c r="O26" s="2">
        <v>0</v>
      </c>
      <c r="P26" s="2">
        <v>30.749999999</v>
      </c>
      <c r="Q26" s="2">
        <v>2.8249999959999998</v>
      </c>
      <c r="R26" s="2">
        <v>55.024999997999998</v>
      </c>
      <c r="S26" s="2">
        <v>5.0000002500000001E-2</v>
      </c>
      <c r="T26" s="2">
        <v>0.44999999999999996</v>
      </c>
      <c r="U26" s="2">
        <v>22.5</v>
      </c>
      <c r="V26" s="2">
        <v>0</v>
      </c>
      <c r="W26" s="2">
        <v>0</v>
      </c>
    </row>
    <row r="27" spans="1:23">
      <c r="A27" t="s">
        <v>72</v>
      </c>
      <c r="B27" s="2">
        <v>109.9375</v>
      </c>
      <c r="C27" s="2">
        <v>28.4168498925</v>
      </c>
      <c r="D27" s="2">
        <v>13.608607852</v>
      </c>
      <c r="E27" s="2">
        <v>0</v>
      </c>
      <c r="F27" s="2">
        <v>1.74642857</v>
      </c>
      <c r="G27" s="2">
        <v>4.1321428550000006</v>
      </c>
      <c r="H27" s="2">
        <v>0</v>
      </c>
      <c r="I27" s="2">
        <v>550.67708333543749</v>
      </c>
      <c r="J27" s="2">
        <v>26.714583336687497</v>
      </c>
      <c r="K27" s="2">
        <v>5.3229166666875001</v>
      </c>
      <c r="L27" s="2">
        <v>10.89583333</v>
      </c>
      <c r="M27" s="2">
        <v>9</v>
      </c>
      <c r="N27" s="2">
        <v>26.666666658499999</v>
      </c>
      <c r="O27" s="2">
        <v>0</v>
      </c>
      <c r="P27" s="2">
        <v>68.083333328999998</v>
      </c>
      <c r="Q27" s="2">
        <v>3.4066666584999998</v>
      </c>
      <c r="R27" s="2">
        <v>390.666666668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>
      <c r="A28" t="s">
        <v>73</v>
      </c>
      <c r="B28" s="2">
        <v>75.114583333500008</v>
      </c>
      <c r="C28" s="2">
        <v>21.604319352499999</v>
      </c>
      <c r="D28" s="2">
        <v>11.459554162</v>
      </c>
      <c r="E28" s="2">
        <v>0</v>
      </c>
      <c r="F28" s="2">
        <v>1.6339285699999999</v>
      </c>
      <c r="G28" s="2">
        <v>3.9196428550000002</v>
      </c>
      <c r="H28" s="2">
        <v>0</v>
      </c>
      <c r="I28" s="2">
        <v>467.27430559762502</v>
      </c>
      <c r="J28" s="2">
        <v>16.223611113775</v>
      </c>
      <c r="K28" s="2">
        <v>2.6736111086249998</v>
      </c>
      <c r="L28" s="2">
        <v>6.3333333308749999</v>
      </c>
      <c r="M28" s="2">
        <v>6</v>
      </c>
      <c r="N28" s="2">
        <v>13.499999996</v>
      </c>
      <c r="O28" s="2">
        <v>0</v>
      </c>
      <c r="P28" s="2">
        <v>31.124999999</v>
      </c>
      <c r="Q28" s="2">
        <v>2.8249999959999998</v>
      </c>
      <c r="R28" s="2">
        <v>59.399999997999998</v>
      </c>
      <c r="S28" s="2">
        <v>5.0000002500000001E-2</v>
      </c>
      <c r="T28" s="2">
        <v>0.44999999999999996</v>
      </c>
      <c r="U28" s="2">
        <v>22.5</v>
      </c>
      <c r="V28" s="2">
        <v>0</v>
      </c>
      <c r="W28" s="2">
        <v>0</v>
      </c>
    </row>
    <row r="29" spans="1:23">
      <c r="A29" t="s">
        <v>74</v>
      </c>
      <c r="B29" s="2">
        <v>80.78125</v>
      </c>
      <c r="C29" s="2">
        <v>17.84633707075</v>
      </c>
      <c r="D29" s="2">
        <v>12.394322137</v>
      </c>
      <c r="E29" s="2">
        <v>0</v>
      </c>
      <c r="F29" s="2">
        <v>0.80961538474999994</v>
      </c>
      <c r="G29" s="2">
        <v>1.6115384610000001</v>
      </c>
      <c r="H29" s="2">
        <v>0</v>
      </c>
      <c r="I29" s="2">
        <v>350.52083333543749</v>
      </c>
      <c r="J29" s="2">
        <v>18.470993595437498</v>
      </c>
      <c r="K29" s="2">
        <v>4.7267628184374999</v>
      </c>
      <c r="L29" s="2">
        <v>3.0625</v>
      </c>
      <c r="M29" s="2">
        <v>2</v>
      </c>
      <c r="N29" s="2">
        <v>21.153846150249997</v>
      </c>
      <c r="O29" s="2">
        <v>0</v>
      </c>
      <c r="P29" s="2">
        <v>39.442307688</v>
      </c>
      <c r="Q29" s="2">
        <v>3.3196153807499997</v>
      </c>
      <c r="R29" s="2">
        <v>234.06346153449999</v>
      </c>
      <c r="S29" s="2">
        <v>5.0000002500000001E-2</v>
      </c>
      <c r="T29" s="2">
        <v>0.44999999999999996</v>
      </c>
      <c r="U29" s="2">
        <v>22.5</v>
      </c>
      <c r="V29" s="2">
        <v>0</v>
      </c>
      <c r="W29" s="2">
        <v>0</v>
      </c>
    </row>
    <row r="30" spans="1:23">
      <c r="A30" t="s">
        <v>75</v>
      </c>
      <c r="B30" s="2">
        <v>101.950086806</v>
      </c>
      <c r="C30" s="2">
        <v>20.948151799000001</v>
      </c>
      <c r="D30" s="2">
        <v>15.585213413</v>
      </c>
      <c r="E30" s="2">
        <v>0</v>
      </c>
      <c r="F30" s="2">
        <v>0.86624999999999996</v>
      </c>
      <c r="G30" s="2">
        <v>1.6362500000000002</v>
      </c>
      <c r="H30" s="2">
        <v>0</v>
      </c>
      <c r="I30" s="2">
        <v>248.44791684</v>
      </c>
      <c r="J30" s="2">
        <v>54.311154524399996</v>
      </c>
      <c r="K30" s="2">
        <v>3.6749999899999999</v>
      </c>
      <c r="L30" s="2">
        <v>26.333333333375002</v>
      </c>
      <c r="M30" s="2">
        <v>25</v>
      </c>
      <c r="N30" s="2">
        <v>13</v>
      </c>
      <c r="O30" s="2">
        <v>0</v>
      </c>
      <c r="P30" s="2">
        <v>25.524999999999999</v>
      </c>
      <c r="Q30" s="2">
        <v>1.95</v>
      </c>
      <c r="R30" s="2">
        <v>237.72499998999999</v>
      </c>
      <c r="S30" s="2">
        <v>0.20000001000000001</v>
      </c>
      <c r="T30" s="2">
        <v>1.7999999999999998</v>
      </c>
      <c r="U30" s="2">
        <v>90</v>
      </c>
      <c r="V30" s="2">
        <v>0</v>
      </c>
      <c r="W30" s="2">
        <v>0</v>
      </c>
    </row>
    <row r="31" spans="1:23">
      <c r="A31" t="s">
        <v>76</v>
      </c>
      <c r="B31" s="2">
        <v>101.668836806</v>
      </c>
      <c r="C31" s="2">
        <v>19.104319352499999</v>
      </c>
      <c r="D31" s="2">
        <v>10.905982733249999</v>
      </c>
      <c r="E31" s="2">
        <v>0</v>
      </c>
      <c r="F31" s="2">
        <v>1.3660714275000001</v>
      </c>
      <c r="G31" s="2">
        <v>3.2053571412499999</v>
      </c>
      <c r="H31" s="2">
        <v>0</v>
      </c>
      <c r="I31" s="2">
        <v>322.65625017543749</v>
      </c>
      <c r="J31" s="2">
        <v>37.409071186087502</v>
      </c>
      <c r="K31" s="2">
        <v>3.3229166616875001</v>
      </c>
      <c r="L31" s="2">
        <v>20.333333333374998</v>
      </c>
      <c r="M31" s="2">
        <v>19</v>
      </c>
      <c r="N31" s="2">
        <v>22.499999998500002</v>
      </c>
      <c r="O31" s="2">
        <v>0</v>
      </c>
      <c r="P31" s="2">
        <v>40.749999998999996</v>
      </c>
      <c r="Q31" s="2">
        <v>3.3999999985000002</v>
      </c>
      <c r="R31" s="2">
        <v>240.049999993</v>
      </c>
      <c r="S31" s="2">
        <v>0.100000005</v>
      </c>
      <c r="T31" s="2">
        <v>0.89999999999999991</v>
      </c>
      <c r="U31" s="2">
        <v>45</v>
      </c>
      <c r="V31" s="2">
        <v>0</v>
      </c>
      <c r="W31" s="2">
        <v>0</v>
      </c>
    </row>
    <row r="32" spans="1:23">
      <c r="A32" t="s">
        <v>77</v>
      </c>
      <c r="B32" s="2">
        <v>71.989583333500008</v>
      </c>
      <c r="C32" s="2">
        <v>16.77104709</v>
      </c>
      <c r="D32" s="2">
        <v>14.16837583</v>
      </c>
      <c r="E32" s="2">
        <v>0</v>
      </c>
      <c r="F32" s="2">
        <v>0.78749999999999998</v>
      </c>
      <c r="G32" s="2">
        <v>1.4875</v>
      </c>
      <c r="H32" s="2">
        <v>0</v>
      </c>
      <c r="I32" s="2">
        <v>337.96875004000003</v>
      </c>
      <c r="J32" s="2">
        <v>33.175000010150001</v>
      </c>
      <c r="K32" s="2">
        <v>1.1249999900000001</v>
      </c>
      <c r="L32" s="2">
        <v>9.0833333333750002</v>
      </c>
      <c r="M32" s="2">
        <v>9</v>
      </c>
      <c r="N32" s="2">
        <v>3</v>
      </c>
      <c r="O32" s="2">
        <v>0</v>
      </c>
      <c r="P32" s="2">
        <v>0.375</v>
      </c>
      <c r="Q32" s="2">
        <v>1.5</v>
      </c>
      <c r="R32" s="2">
        <v>1.9749999899999999</v>
      </c>
      <c r="S32" s="2">
        <v>0.20000001000000001</v>
      </c>
      <c r="T32" s="2">
        <v>1.7999999999999998</v>
      </c>
      <c r="U32" s="2">
        <v>90</v>
      </c>
      <c r="V32" s="2">
        <v>0</v>
      </c>
      <c r="W32" s="2">
        <v>0</v>
      </c>
    </row>
    <row r="33" spans="1:23">
      <c r="A33" t="s">
        <v>78</v>
      </c>
      <c r="B33" s="2">
        <v>69.458333333500008</v>
      </c>
      <c r="C33" s="2">
        <v>16.527396277500003</v>
      </c>
      <c r="D33" s="2">
        <v>10.848290426249999</v>
      </c>
      <c r="E33" s="2">
        <v>0</v>
      </c>
      <c r="F33" s="2">
        <v>1.3660714275000001</v>
      </c>
      <c r="G33" s="2">
        <v>3.2053571412499999</v>
      </c>
      <c r="H33" s="2">
        <v>0</v>
      </c>
      <c r="I33" s="2">
        <v>417.2155449134375</v>
      </c>
      <c r="J33" s="2">
        <v>21.539583339337497</v>
      </c>
      <c r="K33" s="2">
        <v>1.4062499966874999</v>
      </c>
      <c r="L33" s="2">
        <v>6.0833333333750002</v>
      </c>
      <c r="M33" s="2">
        <v>6</v>
      </c>
      <c r="N33" s="2">
        <v>11.8461538425</v>
      </c>
      <c r="O33" s="2">
        <v>0</v>
      </c>
      <c r="P33" s="2">
        <v>14.7307692275</v>
      </c>
      <c r="Q33" s="2">
        <v>2.5461538424999999</v>
      </c>
      <c r="R33" s="2">
        <v>32.494871790000005</v>
      </c>
      <c r="S33" s="2">
        <v>6.6666669999999997E-2</v>
      </c>
      <c r="T33" s="2">
        <v>0.6</v>
      </c>
      <c r="U33" s="2">
        <v>30</v>
      </c>
      <c r="V33" s="2">
        <v>0</v>
      </c>
      <c r="W33" s="2">
        <v>0</v>
      </c>
    </row>
    <row r="34" spans="1:23">
      <c r="A34" t="s">
        <v>79</v>
      </c>
      <c r="B34" s="2">
        <v>81.208333333499994</v>
      </c>
      <c r="C34" s="2">
        <v>19.21590909</v>
      </c>
      <c r="D34" s="2">
        <v>4.6363636312500001</v>
      </c>
      <c r="E34" s="2">
        <v>0</v>
      </c>
      <c r="F34" s="2">
        <v>5.1136363687499999</v>
      </c>
      <c r="G34" s="2">
        <v>5.1136363687499999</v>
      </c>
      <c r="H34" s="2">
        <v>0</v>
      </c>
      <c r="I34" s="2">
        <v>435.76704549625003</v>
      </c>
      <c r="J34" s="2">
        <v>34.675000010150001</v>
      </c>
      <c r="K34" s="2">
        <v>3.6249999925000003</v>
      </c>
      <c r="L34" s="2">
        <v>9.3333333308749999</v>
      </c>
      <c r="M34" s="2">
        <v>9</v>
      </c>
      <c r="N34" s="2">
        <v>4.9999999949999996</v>
      </c>
      <c r="O34" s="2">
        <v>0</v>
      </c>
      <c r="P34" s="2">
        <v>17.124999997500002</v>
      </c>
      <c r="Q34" s="2">
        <v>1.624999995</v>
      </c>
      <c r="R34" s="2">
        <v>82.199999994999999</v>
      </c>
      <c r="S34" s="2">
        <v>0.1500000075</v>
      </c>
      <c r="T34" s="2">
        <v>1.3499999999999999</v>
      </c>
      <c r="U34" s="2">
        <v>67.5</v>
      </c>
      <c r="V34" s="2">
        <v>0</v>
      </c>
      <c r="W34" s="2">
        <v>0</v>
      </c>
    </row>
    <row r="35" spans="1:23">
      <c r="A35" t="s">
        <v>80</v>
      </c>
      <c r="B35" s="2">
        <v>54.470833333499996</v>
      </c>
      <c r="C35" s="2">
        <v>24.762973197000001</v>
      </c>
      <c r="D35" s="2">
        <v>11.700625592249999</v>
      </c>
      <c r="E35" s="2">
        <v>0</v>
      </c>
      <c r="F35" s="2">
        <v>2.0364010972499997</v>
      </c>
      <c r="G35" s="2">
        <v>4.97046702975</v>
      </c>
      <c r="H35" s="2">
        <v>0</v>
      </c>
      <c r="I35" s="2">
        <v>250.86805559662503</v>
      </c>
      <c r="J35" s="2">
        <v>6.2716880350250008</v>
      </c>
      <c r="K35" s="2">
        <v>2.8274572653750001</v>
      </c>
      <c r="L35" s="2">
        <v>3.4583333296249998</v>
      </c>
      <c r="M35" s="2">
        <v>3</v>
      </c>
      <c r="N35" s="2">
        <v>11.528846149749999</v>
      </c>
      <c r="O35" s="2">
        <v>0</v>
      </c>
      <c r="P35" s="2">
        <v>34.192307690999996</v>
      </c>
      <c r="Q35" s="2">
        <v>1.83461538025</v>
      </c>
      <c r="R35" s="2">
        <v>92.663461541749996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>
      <c r="A36" t="s">
        <v>81</v>
      </c>
      <c r="B36" s="2">
        <v>60.677083333500001</v>
      </c>
      <c r="C36" s="2">
        <v>18.376834642625003</v>
      </c>
      <c r="D36" s="2">
        <v>15.382808044000001</v>
      </c>
      <c r="E36" s="2">
        <v>0</v>
      </c>
      <c r="F36" s="2">
        <v>0.90307692312499999</v>
      </c>
      <c r="G36" s="2">
        <v>1.7351923075000002</v>
      </c>
      <c r="H36" s="2">
        <v>0</v>
      </c>
      <c r="I36" s="2">
        <v>152.65625004</v>
      </c>
      <c r="J36" s="2">
        <v>33.040384625775005</v>
      </c>
      <c r="K36" s="2">
        <v>1.1442307593749999</v>
      </c>
      <c r="L36" s="2">
        <v>9.5833333333750002</v>
      </c>
      <c r="M36" s="2">
        <v>9.5</v>
      </c>
      <c r="N36" s="2">
        <v>3.144230769375</v>
      </c>
      <c r="O36" s="2">
        <v>0</v>
      </c>
      <c r="P36" s="2">
        <v>0.96153846124999998</v>
      </c>
      <c r="Q36" s="2">
        <v>1.548076923125</v>
      </c>
      <c r="R36" s="2">
        <v>5.2923076824999997</v>
      </c>
      <c r="S36" s="2">
        <v>0.20000001000000001</v>
      </c>
      <c r="T36" s="2">
        <v>1.7999999999999998</v>
      </c>
      <c r="U36" s="2">
        <v>90</v>
      </c>
      <c r="V36" s="2">
        <v>0</v>
      </c>
      <c r="W36" s="2">
        <v>0</v>
      </c>
    </row>
    <row r="37" spans="1:23">
      <c r="A37" t="s">
        <v>82</v>
      </c>
      <c r="B37" s="2">
        <v>90.739583333500008</v>
      </c>
      <c r="C37" s="2">
        <v>42.596630222750008</v>
      </c>
      <c r="D37" s="2">
        <v>32.200237561000002</v>
      </c>
      <c r="E37" s="2">
        <v>0</v>
      </c>
      <c r="F37" s="2">
        <v>1.8896153847499999</v>
      </c>
      <c r="G37" s="2">
        <v>3.6515384610000003</v>
      </c>
      <c r="H37" s="2">
        <v>0</v>
      </c>
      <c r="I37" s="2">
        <v>201.96180559762502</v>
      </c>
      <c r="J37" s="2">
        <v>11.271688037524999</v>
      </c>
      <c r="K37" s="2">
        <v>3.7024572653750001</v>
      </c>
      <c r="L37" s="2">
        <v>3.3333333308749999</v>
      </c>
      <c r="M37" s="2">
        <v>3</v>
      </c>
      <c r="N37" s="2">
        <v>14.153846147749999</v>
      </c>
      <c r="O37" s="2">
        <v>0</v>
      </c>
      <c r="P37" s="2">
        <v>34.442307688</v>
      </c>
      <c r="Q37" s="2">
        <v>2.8346153782499997</v>
      </c>
      <c r="R37" s="2">
        <v>97.038461539500005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>
      <c r="A38" t="s">
        <v>83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84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>
      <c r="A40" t="s">
        <v>85</v>
      </c>
      <c r="B40" s="2">
        <v>97.3125</v>
      </c>
      <c r="C40" s="2">
        <v>19.780625004968748</v>
      </c>
      <c r="D40" s="2">
        <v>11.536607148750001</v>
      </c>
      <c r="E40" s="2">
        <v>0</v>
      </c>
      <c r="F40" s="2">
        <v>2.4113392787499999</v>
      </c>
      <c r="G40" s="2">
        <v>4.2865476158125002</v>
      </c>
      <c r="H40" s="2">
        <v>0</v>
      </c>
      <c r="I40" s="2">
        <v>300.67229166665629</v>
      </c>
      <c r="J40" s="2">
        <v>46.305833343718746</v>
      </c>
      <c r="K40" s="2">
        <v>6.6341666612500001</v>
      </c>
      <c r="L40" s="2">
        <v>15.555208333343749</v>
      </c>
      <c r="M40" s="2">
        <v>15.5</v>
      </c>
      <c r="N40" s="2">
        <v>5.1345833283437496</v>
      </c>
      <c r="O40" s="2">
        <v>0</v>
      </c>
      <c r="P40" s="2">
        <v>21.093749994781252</v>
      </c>
      <c r="Q40" s="2">
        <v>4.0683333283124998</v>
      </c>
      <c r="R40" s="2">
        <v>485.51249999437499</v>
      </c>
      <c r="S40" s="2">
        <v>0.10854167206250001</v>
      </c>
      <c r="T40" s="2">
        <v>0.97687499999999994</v>
      </c>
      <c r="U40" s="2">
        <v>48.791041666687498</v>
      </c>
      <c r="V40" s="2">
        <v>8.6458333312499996E-2</v>
      </c>
      <c r="W40" s="2">
        <v>0.21062500000000001</v>
      </c>
    </row>
    <row r="41" spans="1:23">
      <c r="A41" t="s">
        <v>86</v>
      </c>
      <c r="B41" s="2">
        <v>78.5625</v>
      </c>
      <c r="C41" s="2">
        <v>22.27100961971875</v>
      </c>
      <c r="D41" s="2">
        <v>9.8401785732500002</v>
      </c>
      <c r="E41" s="2">
        <v>0</v>
      </c>
      <c r="F41" s="2">
        <v>2.4443063129999998</v>
      </c>
      <c r="G41" s="2">
        <v>4.8153937688125001</v>
      </c>
      <c r="H41" s="2">
        <v>0</v>
      </c>
      <c r="I41" s="2">
        <v>269.97784722428128</v>
      </c>
      <c r="J41" s="2">
        <v>17.807970089031251</v>
      </c>
      <c r="K41" s="2">
        <v>6.7757264963749995</v>
      </c>
      <c r="L41" s="2">
        <v>6.3052083308437501</v>
      </c>
      <c r="M41" s="2">
        <v>6</v>
      </c>
      <c r="N41" s="2">
        <v>15.394198712093749</v>
      </c>
      <c r="O41" s="2">
        <v>0</v>
      </c>
      <c r="P41" s="2">
        <v>47.824519225781245</v>
      </c>
      <c r="Q41" s="2">
        <v>4.7673717885625004</v>
      </c>
      <c r="R41" s="2">
        <v>389.55448718062496</v>
      </c>
      <c r="S41" s="2">
        <v>2.083333125E-4</v>
      </c>
      <c r="T41" s="2">
        <v>1.8749999999999999E-3</v>
      </c>
      <c r="U41" s="2">
        <v>4.1041666687499999E-2</v>
      </c>
      <c r="V41" s="2">
        <v>8.6458333312499996E-2</v>
      </c>
      <c r="W41" s="2">
        <v>0.21062500000000001</v>
      </c>
    </row>
    <row r="42" spans="1:23">
      <c r="A42" t="s">
        <v>87</v>
      </c>
      <c r="B42" s="2">
        <v>74.5625</v>
      </c>
      <c r="C42" s="2">
        <v>15.876962070718751</v>
      </c>
      <c r="D42" s="2">
        <v>12.163072140000001</v>
      </c>
      <c r="E42" s="2">
        <v>0</v>
      </c>
      <c r="F42" s="2">
        <v>0.81024038474999993</v>
      </c>
      <c r="G42" s="2">
        <v>1.6123717943125002</v>
      </c>
      <c r="H42" s="2">
        <v>0</v>
      </c>
      <c r="I42" s="2">
        <v>220.67229166665626</v>
      </c>
      <c r="J42" s="2">
        <v>41.728910267468748</v>
      </c>
      <c r="K42" s="2">
        <v>5.5380128155000001</v>
      </c>
      <c r="L42" s="2">
        <v>12.055208333343749</v>
      </c>
      <c r="M42" s="2">
        <v>12</v>
      </c>
      <c r="N42" s="2">
        <v>5.5384294825937497</v>
      </c>
      <c r="O42" s="2">
        <v>0</v>
      </c>
      <c r="P42" s="2">
        <v>23.036057686281254</v>
      </c>
      <c r="Q42" s="2">
        <v>4.2029487130624998</v>
      </c>
      <c r="R42" s="2">
        <v>493.80096153337502</v>
      </c>
      <c r="S42" s="2">
        <v>0.10854167206250001</v>
      </c>
      <c r="T42" s="2">
        <v>0.97687499999999994</v>
      </c>
      <c r="U42" s="2">
        <v>48.791041666687498</v>
      </c>
      <c r="V42" s="2">
        <v>8.6458333312499996E-2</v>
      </c>
      <c r="W42" s="2">
        <v>0.21062500000000001</v>
      </c>
    </row>
    <row r="43" spans="1:23">
      <c r="A43" t="s">
        <v>88</v>
      </c>
      <c r="B43" s="2">
        <v>84.5625</v>
      </c>
      <c r="C43" s="2">
        <v>16.92739703721875</v>
      </c>
      <c r="D43" s="2">
        <v>9.9127058882500005</v>
      </c>
      <c r="E43" s="2">
        <v>0</v>
      </c>
      <c r="F43" s="2">
        <v>1.5219848892500001</v>
      </c>
      <c r="G43" s="2">
        <v>3.6287866275624996</v>
      </c>
      <c r="H43" s="2">
        <v>0</v>
      </c>
      <c r="I43" s="2">
        <v>269.97784722428128</v>
      </c>
      <c r="J43" s="2">
        <v>20.807970091531253</v>
      </c>
      <c r="K43" s="2">
        <v>6.7757264963749995</v>
      </c>
      <c r="L43" s="2">
        <v>4.8052083333437503</v>
      </c>
      <c r="M43" s="2">
        <v>4.75</v>
      </c>
      <c r="N43" s="2">
        <v>14.644198712093749</v>
      </c>
      <c r="O43" s="2">
        <v>0</v>
      </c>
      <c r="P43" s="2">
        <v>34.57451922328125</v>
      </c>
      <c r="Q43" s="2">
        <v>4.7673717885625004</v>
      </c>
      <c r="R43" s="2">
        <v>367.30448717812499</v>
      </c>
      <c r="S43" s="2">
        <v>2.083333125E-4</v>
      </c>
      <c r="T43" s="2">
        <v>1.8749999999999999E-3</v>
      </c>
      <c r="U43" s="2">
        <v>4.1041666687499999E-2</v>
      </c>
      <c r="V43" s="2">
        <v>8.6458333312499996E-2</v>
      </c>
      <c r="W43" s="2">
        <v>0.21062500000000001</v>
      </c>
    </row>
    <row r="44" spans="1:23">
      <c r="A44" t="s">
        <v>89</v>
      </c>
      <c r="B44" s="2">
        <v>80.6875</v>
      </c>
      <c r="C44" s="2">
        <v>18.314278849468749</v>
      </c>
      <c r="D44" s="2">
        <v>11.188392862500001</v>
      </c>
      <c r="E44" s="2">
        <v>0</v>
      </c>
      <c r="F44" s="2">
        <v>1.742383236</v>
      </c>
      <c r="G44" s="2">
        <v>2.4802289355624998</v>
      </c>
      <c r="H44" s="2">
        <v>0</v>
      </c>
      <c r="I44" s="2">
        <v>220.67229166665626</v>
      </c>
      <c r="J44" s="2">
        <v>38.895576932468749</v>
      </c>
      <c r="K44" s="2">
        <v>5.4963461492499999</v>
      </c>
      <c r="L44" s="2">
        <v>12.43020833209375</v>
      </c>
      <c r="M44" s="2">
        <v>12.25</v>
      </c>
      <c r="N44" s="2">
        <v>5.7884294825937497</v>
      </c>
      <c r="O44" s="2">
        <v>0</v>
      </c>
      <c r="P44" s="2">
        <v>29.661057687531255</v>
      </c>
      <c r="Q44" s="2">
        <v>4.1404487130624998</v>
      </c>
      <c r="R44" s="2">
        <v>504.921794868375</v>
      </c>
      <c r="S44" s="2">
        <v>0.10020833831250001</v>
      </c>
      <c r="T44" s="2">
        <v>0.90187499999999987</v>
      </c>
      <c r="U44" s="2">
        <v>45.041041666687498</v>
      </c>
      <c r="V44" s="2">
        <v>8.6458333312499996E-2</v>
      </c>
      <c r="W44" s="2">
        <v>0.21062500000000001</v>
      </c>
    </row>
    <row r="45" spans="1:23">
      <c r="A45" t="s">
        <v>90</v>
      </c>
      <c r="B45" s="2">
        <v>86.4375</v>
      </c>
      <c r="C45" s="2">
        <v>19.14600961971875</v>
      </c>
      <c r="D45" s="2">
        <v>7.5627060442500005</v>
      </c>
      <c r="E45" s="2">
        <v>0</v>
      </c>
      <c r="F45" s="2">
        <v>2.3749381809999996</v>
      </c>
      <c r="G45" s="2">
        <v>5.6354487148124992</v>
      </c>
      <c r="H45" s="2">
        <v>0</v>
      </c>
      <c r="I45" s="2">
        <v>293.81118055653127</v>
      </c>
      <c r="J45" s="2">
        <v>17.057970089031251</v>
      </c>
      <c r="K45" s="2">
        <v>6.8238034198749995</v>
      </c>
      <c r="L45" s="2">
        <v>6.1802083320937502</v>
      </c>
      <c r="M45" s="2">
        <v>6</v>
      </c>
      <c r="N45" s="2">
        <v>17.444198713343752</v>
      </c>
      <c r="O45" s="2">
        <v>0</v>
      </c>
      <c r="P45" s="2">
        <v>50.055288458031242</v>
      </c>
      <c r="Q45" s="2">
        <v>4.8915384575625005</v>
      </c>
      <c r="R45" s="2">
        <v>365.35897435587498</v>
      </c>
      <c r="S45" s="2">
        <v>2.083333125E-4</v>
      </c>
      <c r="T45" s="2">
        <v>1.8749999999999999E-3</v>
      </c>
      <c r="U45" s="2">
        <v>4.1041666687499999E-2</v>
      </c>
      <c r="V45" s="2">
        <v>8.6458333312499996E-2</v>
      </c>
      <c r="W45" s="2">
        <v>0.21062500000000001</v>
      </c>
    </row>
    <row r="46" spans="1:23">
      <c r="A46" t="s">
        <v>91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</row>
    <row r="47" spans="1:23">
      <c r="A47" t="s">
        <v>92</v>
      </c>
      <c r="B47" s="2">
        <v>80.59375</v>
      </c>
      <c r="C47" s="2">
        <v>20.494967950562501</v>
      </c>
      <c r="D47" s="2">
        <v>5.3214285710000002</v>
      </c>
      <c r="E47" s="2">
        <v>0</v>
      </c>
      <c r="F47" s="2">
        <v>4.2300205992500004</v>
      </c>
      <c r="G47" s="2">
        <v>5.8868223413125005</v>
      </c>
      <c r="H47" s="2">
        <v>0</v>
      </c>
      <c r="I47" s="2">
        <v>271.37368055537502</v>
      </c>
      <c r="J47" s="2">
        <v>12.04234508775</v>
      </c>
      <c r="K47" s="2">
        <v>6.3851014963750004</v>
      </c>
      <c r="L47" s="2">
        <v>3.2843749975000001</v>
      </c>
      <c r="M47" s="2">
        <v>3</v>
      </c>
      <c r="N47" s="2">
        <v>15.765032047437499</v>
      </c>
      <c r="O47" s="2">
        <v>0</v>
      </c>
      <c r="P47" s="2">
        <v>40.845352560874993</v>
      </c>
      <c r="Q47" s="2">
        <v>4.0529967918125003</v>
      </c>
      <c r="R47" s="2">
        <v>378.17948718037496</v>
      </c>
      <c r="S47" s="2">
        <v>2.083333125E-4</v>
      </c>
      <c r="T47" s="2">
        <v>1.8749999999999999E-3</v>
      </c>
      <c r="U47" s="2">
        <v>4.1041666687499999E-2</v>
      </c>
      <c r="V47" s="2">
        <v>8.6458333312499996E-2</v>
      </c>
      <c r="W47" s="2">
        <v>7.9375000000000001E-2</v>
      </c>
    </row>
    <row r="48" spans="1:23">
      <c r="A48" t="s">
        <v>93</v>
      </c>
      <c r="B48" s="2">
        <v>92.125</v>
      </c>
      <c r="C48" s="2">
        <v>17.277195517781252</v>
      </c>
      <c r="D48" s="2">
        <v>11.108035719750001</v>
      </c>
      <c r="E48" s="2">
        <v>0</v>
      </c>
      <c r="F48" s="2">
        <v>1.9037225215</v>
      </c>
      <c r="G48" s="2">
        <v>2.9096336971249999</v>
      </c>
      <c r="H48" s="2">
        <v>0</v>
      </c>
      <c r="I48" s="2">
        <v>278.36541666665624</v>
      </c>
      <c r="J48" s="2">
        <v>45.962868601218752</v>
      </c>
      <c r="K48" s="2">
        <v>8.2398878154999995</v>
      </c>
      <c r="L48" s="2">
        <v>15.05833333334375</v>
      </c>
      <c r="M48" s="2">
        <v>15</v>
      </c>
      <c r="N48" s="2">
        <v>5.7105128155312501</v>
      </c>
      <c r="O48" s="2">
        <v>0</v>
      </c>
      <c r="P48" s="2">
        <v>25.067307685656246</v>
      </c>
      <c r="Q48" s="2">
        <v>4.2985737126249992</v>
      </c>
      <c r="R48" s="2">
        <v>504.13429486650006</v>
      </c>
      <c r="S48" s="2">
        <v>0.10875000537500001</v>
      </c>
      <c r="T48" s="2">
        <v>0.97875000000000001</v>
      </c>
      <c r="U48" s="2">
        <v>48.832083333375003</v>
      </c>
      <c r="V48" s="2">
        <v>0.17291666662499999</v>
      </c>
      <c r="W48" s="2">
        <v>0.29000000000000004</v>
      </c>
    </row>
    <row r="49" spans="1:23">
      <c r="A49" t="s">
        <v>94</v>
      </c>
      <c r="B49" s="2">
        <v>87.84375</v>
      </c>
      <c r="C49" s="2">
        <v>17.646009622218749</v>
      </c>
      <c r="D49" s="2">
        <v>8.3044642870000001</v>
      </c>
      <c r="E49" s="2">
        <v>0</v>
      </c>
      <c r="F49" s="2">
        <v>2.35502059925</v>
      </c>
      <c r="G49" s="2">
        <v>4.8153937688125001</v>
      </c>
      <c r="H49" s="2">
        <v>0</v>
      </c>
      <c r="I49" s="2">
        <v>367.6340972217813</v>
      </c>
      <c r="J49" s="2">
        <v>25.325678424843748</v>
      </c>
      <c r="K49" s="2">
        <v>7.7757264963750004</v>
      </c>
      <c r="L49" s="2">
        <v>7.5552083333437503</v>
      </c>
      <c r="M49" s="2">
        <v>7.5</v>
      </c>
      <c r="N49" s="2">
        <v>15.894198712093749</v>
      </c>
      <c r="O49" s="2">
        <v>0</v>
      </c>
      <c r="P49" s="2">
        <v>36.574519223281243</v>
      </c>
      <c r="Q49" s="2">
        <v>5.7923717910625001</v>
      </c>
      <c r="R49" s="2">
        <v>514.55448717562501</v>
      </c>
      <c r="S49" s="2">
        <v>2.083333125E-4</v>
      </c>
      <c r="T49" s="2">
        <v>1.8749999999999999E-3</v>
      </c>
      <c r="U49" s="2">
        <v>4.1041666687499999E-2</v>
      </c>
      <c r="V49" s="2">
        <v>8.6458333312499996E-2</v>
      </c>
      <c r="W49" s="2">
        <v>0.21062500000000001</v>
      </c>
    </row>
    <row r="50" spans="1:23">
      <c r="A50" t="s">
        <v>95</v>
      </c>
      <c r="B50" s="2">
        <v>93.8125</v>
      </c>
      <c r="C50" s="2">
        <v>16.730957767</v>
      </c>
      <c r="D50" s="2">
        <v>10.9821428625</v>
      </c>
      <c r="E50" s="2">
        <v>0</v>
      </c>
      <c r="F50" s="2">
        <v>1.7417582359999999</v>
      </c>
      <c r="G50" s="2">
        <v>2.4793956022499999</v>
      </c>
      <c r="H50" s="2">
        <v>0</v>
      </c>
      <c r="I50" s="2">
        <v>263.28125</v>
      </c>
      <c r="J50" s="2">
        <v>45.690172511625008</v>
      </c>
      <c r="K50" s="2">
        <v>9.2567873355000003</v>
      </c>
      <c r="L50" s="2">
        <v>15.09375</v>
      </c>
      <c r="M50" s="2">
        <v>15</v>
      </c>
      <c r="N50" s="2">
        <v>5.5043363430000003</v>
      </c>
      <c r="O50" s="2">
        <v>0</v>
      </c>
      <c r="P50" s="2">
        <v>24.351621407749995</v>
      </c>
      <c r="Q50" s="2">
        <v>4.3321643922499993</v>
      </c>
      <c r="R50" s="2">
        <v>532.88404977524999</v>
      </c>
      <c r="S50" s="2">
        <v>9.558823625E-2</v>
      </c>
      <c r="T50" s="2">
        <v>0.47794118125000001</v>
      </c>
      <c r="U50" s="2">
        <v>60.698529417500005</v>
      </c>
      <c r="V50" s="2">
        <v>0</v>
      </c>
      <c r="W50" s="2">
        <v>0</v>
      </c>
    </row>
    <row r="51" spans="1:23">
      <c r="A51" t="s">
        <v>96</v>
      </c>
      <c r="B51" s="2">
        <v>81.875</v>
      </c>
      <c r="C51" s="2">
        <v>18.673076927499999</v>
      </c>
      <c r="D51" s="2">
        <v>8.3035714294999998</v>
      </c>
      <c r="E51" s="2">
        <v>0</v>
      </c>
      <c r="F51" s="2">
        <v>1.799450545</v>
      </c>
      <c r="G51" s="2">
        <v>3.3379120850000001</v>
      </c>
      <c r="H51" s="2">
        <v>0</v>
      </c>
      <c r="I51" s="2">
        <v>367.58680555512501</v>
      </c>
      <c r="J51" s="2">
        <v>16.392441242749999</v>
      </c>
      <c r="K51" s="2">
        <v>8.8755341886250001</v>
      </c>
      <c r="L51" s="2">
        <v>3.3437499974999998</v>
      </c>
      <c r="M51" s="2">
        <v>3</v>
      </c>
      <c r="N51" s="2">
        <v>16.576923071</v>
      </c>
      <c r="O51" s="2">
        <v>0</v>
      </c>
      <c r="P51" s="2">
        <v>47.596153841499998</v>
      </c>
      <c r="Q51" s="2">
        <v>5.7173076885</v>
      </c>
      <c r="R51" s="2">
        <v>536.51923076800006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</row>
    <row r="52" spans="1:23">
      <c r="A52" t="s">
        <v>97</v>
      </c>
      <c r="B52" s="2">
        <v>78.90625</v>
      </c>
      <c r="C52" s="2">
        <v>18.110352561687499</v>
      </c>
      <c r="D52" s="2">
        <v>14.2857142925</v>
      </c>
      <c r="E52" s="2">
        <v>0</v>
      </c>
      <c r="F52" s="2">
        <v>1.6558447731250001</v>
      </c>
      <c r="G52" s="2">
        <v>1.5495970683125</v>
      </c>
      <c r="H52" s="2">
        <v>0</v>
      </c>
      <c r="I52" s="2">
        <v>147.69312500000001</v>
      </c>
      <c r="J52" s="2">
        <v>34.947259613312497</v>
      </c>
      <c r="K52" s="2">
        <v>5.5961057743750002</v>
      </c>
      <c r="L52" s="2">
        <v>12.534375000000001</v>
      </c>
      <c r="M52" s="2">
        <v>12.5</v>
      </c>
      <c r="N52" s="2">
        <v>3.1496474303125002</v>
      </c>
      <c r="O52" s="2">
        <v>0</v>
      </c>
      <c r="P52" s="2">
        <v>8.3261217866250004</v>
      </c>
      <c r="Q52" s="2">
        <v>1.4770352456875</v>
      </c>
      <c r="R52" s="2">
        <v>84.025641026624996</v>
      </c>
      <c r="S52" s="2">
        <v>0.10020833431250001</v>
      </c>
      <c r="T52" s="2">
        <v>0.50187500499999993</v>
      </c>
      <c r="U52" s="2">
        <v>63.541041672687498</v>
      </c>
      <c r="V52" s="2">
        <v>8.6458333312499996E-2</v>
      </c>
      <c r="W52" s="2">
        <v>7.9375000000000001E-2</v>
      </c>
    </row>
    <row r="53" spans="1:23">
      <c r="A53" t="s">
        <v>98</v>
      </c>
      <c r="B53" s="2">
        <v>72.03125</v>
      </c>
      <c r="C53" s="2">
        <v>16.6443269268125</v>
      </c>
      <c r="D53" s="2">
        <v>8.0357142857500001</v>
      </c>
      <c r="E53" s="2">
        <v>0</v>
      </c>
      <c r="F53" s="2">
        <v>1.9786469737499999</v>
      </c>
      <c r="G53" s="2">
        <v>2.2673168483125004</v>
      </c>
      <c r="H53" s="2">
        <v>0</v>
      </c>
      <c r="I53" s="2">
        <v>253.33796626887502</v>
      </c>
      <c r="J53" s="2">
        <v>11.448572195000001</v>
      </c>
      <c r="K53" s="2">
        <v>6.0202663298750005</v>
      </c>
      <c r="L53" s="2">
        <v>4.30223213875</v>
      </c>
      <c r="M53" s="2">
        <v>0</v>
      </c>
      <c r="N53" s="2">
        <v>14.815673071687501</v>
      </c>
      <c r="O53" s="2">
        <v>0</v>
      </c>
      <c r="P53" s="2">
        <v>41.904784794874999</v>
      </c>
      <c r="Q53" s="2">
        <v>3.1920993558124997</v>
      </c>
      <c r="R53" s="2">
        <v>160.39899268862501</v>
      </c>
      <c r="S53" s="2">
        <v>2.083333125E-4</v>
      </c>
      <c r="T53" s="2">
        <v>1.8749999999999999E-3</v>
      </c>
      <c r="U53" s="2">
        <v>4.1041666687499999E-2</v>
      </c>
      <c r="V53" s="2">
        <v>8.6458333312499996E-2</v>
      </c>
      <c r="W53" s="2">
        <v>2.7579464274999999</v>
      </c>
    </row>
    <row r="54" spans="1:23">
      <c r="A54" t="s">
        <v>99</v>
      </c>
      <c r="B54" s="2">
        <v>79.53125</v>
      </c>
      <c r="C54" s="2">
        <v>18.211314100062502</v>
      </c>
      <c r="D54" s="2">
        <v>11.339285719999999</v>
      </c>
      <c r="E54" s="2">
        <v>0</v>
      </c>
      <c r="F54" s="2">
        <v>2.2204052132499998</v>
      </c>
      <c r="G54" s="2">
        <v>3.7645695940624999</v>
      </c>
      <c r="H54" s="2">
        <v>0</v>
      </c>
      <c r="I54" s="2">
        <v>147.69312500000001</v>
      </c>
      <c r="J54" s="2">
        <v>35.091490382687496</v>
      </c>
      <c r="K54" s="2">
        <v>5.6826442359999998</v>
      </c>
      <c r="L54" s="2">
        <v>12.534375000000001</v>
      </c>
      <c r="M54" s="2">
        <v>12.5</v>
      </c>
      <c r="N54" s="2">
        <v>3.2361858919375002</v>
      </c>
      <c r="O54" s="2">
        <v>0</v>
      </c>
      <c r="P54" s="2">
        <v>8.9030448633750012</v>
      </c>
      <c r="Q54" s="2">
        <v>1.5058813995625</v>
      </c>
      <c r="R54" s="2">
        <v>87.141025642125001</v>
      </c>
      <c r="S54" s="2">
        <v>0.10020833431250001</v>
      </c>
      <c r="T54" s="2">
        <v>0.50187500499999993</v>
      </c>
      <c r="U54" s="2">
        <v>63.541041672687498</v>
      </c>
      <c r="V54" s="2">
        <v>8.6458333312499996E-2</v>
      </c>
      <c r="W54" s="2">
        <v>7.9375000000000001E-2</v>
      </c>
    </row>
    <row r="55" spans="1:23">
      <c r="A55" t="s">
        <v>100</v>
      </c>
      <c r="B55" s="2">
        <v>72.78125</v>
      </c>
      <c r="C55" s="2">
        <v>16.6443269268125</v>
      </c>
      <c r="D55" s="2">
        <v>5.9821428557499994</v>
      </c>
      <c r="E55" s="2">
        <v>0</v>
      </c>
      <c r="F55" s="2">
        <v>2.7822184024999999</v>
      </c>
      <c r="G55" s="2">
        <v>3.3387454195624997</v>
      </c>
      <c r="H55" s="2">
        <v>0</v>
      </c>
      <c r="I55" s="2">
        <v>253.60582341162501</v>
      </c>
      <c r="J55" s="2">
        <v>12.305715052250001</v>
      </c>
      <c r="K55" s="2">
        <v>6.0738377581250003</v>
      </c>
      <c r="L55" s="2">
        <v>5.1058035669999997</v>
      </c>
      <c r="M55" s="2">
        <v>0</v>
      </c>
      <c r="N55" s="2">
        <v>14.815673071687501</v>
      </c>
      <c r="O55" s="2">
        <v>0</v>
      </c>
      <c r="P55" s="2">
        <v>43.511927652125003</v>
      </c>
      <c r="Q55" s="2">
        <v>3.2295993558124998</v>
      </c>
      <c r="R55" s="2">
        <v>171.113278406125</v>
      </c>
      <c r="S55" s="2">
        <v>2.083333125E-4</v>
      </c>
      <c r="T55" s="2">
        <v>1.8749999999999999E-3</v>
      </c>
      <c r="U55" s="2">
        <v>4.1041666687499999E-2</v>
      </c>
      <c r="V55" s="2">
        <v>8.6458333312499996E-2</v>
      </c>
      <c r="W55" s="2">
        <v>3.293660713</v>
      </c>
    </row>
    <row r="56" spans="1:23">
      <c r="A56" t="s">
        <v>101</v>
      </c>
      <c r="B56" s="2">
        <v>78.03125</v>
      </c>
      <c r="C56" s="2">
        <v>15.7738141013125</v>
      </c>
      <c r="D56" s="2">
        <v>10.9821428625</v>
      </c>
      <c r="E56" s="2">
        <v>0</v>
      </c>
      <c r="F56" s="2">
        <v>1.68469092825</v>
      </c>
      <c r="G56" s="2">
        <v>2.3359981665624998</v>
      </c>
      <c r="H56" s="2">
        <v>0</v>
      </c>
      <c r="I56" s="2">
        <v>147.69312500000001</v>
      </c>
      <c r="J56" s="2">
        <v>39.466490383937497</v>
      </c>
      <c r="K56" s="2">
        <v>2.3076442359999998</v>
      </c>
      <c r="L56" s="2">
        <v>14.034375000000001</v>
      </c>
      <c r="M56" s="2">
        <v>14</v>
      </c>
      <c r="N56" s="2">
        <v>3.7361858906875005</v>
      </c>
      <c r="O56" s="2">
        <v>0</v>
      </c>
      <c r="P56" s="2">
        <v>9.7780448621250002</v>
      </c>
      <c r="Q56" s="2">
        <v>1.6308813983124999</v>
      </c>
      <c r="R56" s="2">
        <v>93.516025642125001</v>
      </c>
      <c r="S56" s="2">
        <v>0.10020833431250001</v>
      </c>
      <c r="T56" s="2">
        <v>0.50187500499999993</v>
      </c>
      <c r="U56" s="2">
        <v>63.541041672687498</v>
      </c>
      <c r="V56" s="2">
        <v>8.6458333312499996E-2</v>
      </c>
      <c r="W56" s="2">
        <v>7.9375000000000001E-2</v>
      </c>
    </row>
    <row r="57" spans="1:23">
      <c r="A57" t="s">
        <v>102</v>
      </c>
      <c r="B57" s="2">
        <v>69.03125</v>
      </c>
      <c r="C57" s="2">
        <v>16.677660260812502</v>
      </c>
      <c r="D57" s="2">
        <v>4.9107142832500008</v>
      </c>
      <c r="E57" s="2">
        <v>0</v>
      </c>
      <c r="F57" s="2">
        <v>3.4072184024999999</v>
      </c>
      <c r="G57" s="2">
        <v>3.6958882770624997</v>
      </c>
      <c r="H57" s="2">
        <v>0</v>
      </c>
      <c r="I57" s="2">
        <v>251.99868055512502</v>
      </c>
      <c r="J57" s="2">
        <v>13.69619124275</v>
      </c>
      <c r="K57" s="2">
        <v>2.2024091886249999</v>
      </c>
      <c r="L57" s="2">
        <v>5.2843749974999996</v>
      </c>
      <c r="M57" s="2">
        <v>5</v>
      </c>
      <c r="N57" s="2">
        <v>15.0823397376875</v>
      </c>
      <c r="O57" s="2">
        <v>0</v>
      </c>
      <c r="P57" s="2">
        <v>34.335737174625002</v>
      </c>
      <c r="Q57" s="2">
        <v>3.0712660218124999</v>
      </c>
      <c r="R57" s="2">
        <v>106.72756410112501</v>
      </c>
      <c r="S57" s="2">
        <v>2.083333125E-4</v>
      </c>
      <c r="T57" s="2">
        <v>1.8749999999999999E-3</v>
      </c>
      <c r="U57" s="2">
        <v>4.1041666687499999E-2</v>
      </c>
      <c r="V57" s="2">
        <v>8.6458333312499996E-2</v>
      </c>
      <c r="W57" s="2">
        <v>7.9375000000000001E-2</v>
      </c>
    </row>
    <row r="58" spans="1:23">
      <c r="A58" t="s">
        <v>103</v>
      </c>
      <c r="B58" s="2">
        <v>74.53125</v>
      </c>
      <c r="C58" s="2">
        <v>14.6742665910625</v>
      </c>
      <c r="D58" s="2">
        <v>5.5357142862500002</v>
      </c>
      <c r="E58" s="2">
        <v>0</v>
      </c>
      <c r="F58" s="2">
        <v>4.1530975222500004</v>
      </c>
      <c r="G58" s="2">
        <v>3.9088003655624997</v>
      </c>
      <c r="H58" s="2">
        <v>0</v>
      </c>
      <c r="I58" s="2">
        <v>147.69312500000001</v>
      </c>
      <c r="J58" s="2">
        <v>37.078481335687499</v>
      </c>
      <c r="K58" s="2">
        <v>2.3777799817499998</v>
      </c>
      <c r="L58" s="2">
        <v>14.034375000000001</v>
      </c>
      <c r="M58" s="2">
        <v>14</v>
      </c>
      <c r="N58" s="2">
        <v>3.6004392849375004</v>
      </c>
      <c r="O58" s="2">
        <v>0</v>
      </c>
      <c r="P58" s="2">
        <v>10.314243957624999</v>
      </c>
      <c r="Q58" s="2">
        <v>1.4826913545625</v>
      </c>
      <c r="R58" s="2">
        <v>93.776206637624995</v>
      </c>
      <c r="S58" s="2">
        <v>7.9620098812499998E-2</v>
      </c>
      <c r="T58" s="2">
        <v>0.3989338275</v>
      </c>
      <c r="U58" s="2">
        <v>50.467512259687503</v>
      </c>
      <c r="V58" s="2">
        <v>8.6458333312499996E-2</v>
      </c>
      <c r="W58" s="2">
        <v>7.9375000000000001E-2</v>
      </c>
    </row>
    <row r="59" spans="1:23">
      <c r="A59" t="s">
        <v>104</v>
      </c>
      <c r="B59" s="2">
        <v>78.4375</v>
      </c>
      <c r="C59" s="2">
        <v>20.420048081343751</v>
      </c>
      <c r="D59" s="2">
        <v>11.3580357145</v>
      </c>
      <c r="E59" s="2">
        <v>0</v>
      </c>
      <c r="F59" s="2">
        <v>3.1297458728750001</v>
      </c>
      <c r="G59" s="2">
        <v>1.5289926743125</v>
      </c>
      <c r="H59" s="2">
        <v>0</v>
      </c>
      <c r="I59" s="2">
        <v>252.00909722178125</v>
      </c>
      <c r="J59" s="2">
        <v>15.68457265296875</v>
      </c>
      <c r="K59" s="2">
        <v>2.1891880347499999</v>
      </c>
      <c r="L59" s="2">
        <v>7.3052083308437501</v>
      </c>
      <c r="M59" s="2">
        <v>7</v>
      </c>
      <c r="N59" s="2">
        <v>15.05766025046875</v>
      </c>
      <c r="O59" s="2">
        <v>0</v>
      </c>
      <c r="P59" s="2">
        <v>34.247596149031253</v>
      </c>
      <c r="Q59" s="2">
        <v>3.0635256371874999</v>
      </c>
      <c r="R59" s="2">
        <v>105.68910256262501</v>
      </c>
      <c r="S59" s="2">
        <v>2.083333125E-4</v>
      </c>
      <c r="T59" s="2">
        <v>1.8749999999999999E-3</v>
      </c>
      <c r="U59" s="2">
        <v>4.1041666687499999E-2</v>
      </c>
      <c r="V59" s="2">
        <v>8.6458333312499996E-2</v>
      </c>
      <c r="W59" s="2">
        <v>0.21062500000000001</v>
      </c>
    </row>
    <row r="60" spans="1:23">
      <c r="A60" t="s">
        <v>105</v>
      </c>
      <c r="B60" s="2">
        <v>82.71875</v>
      </c>
      <c r="C60" s="2">
        <v>15.7145192414375</v>
      </c>
      <c r="D60" s="2">
        <v>7.7678571450000007</v>
      </c>
      <c r="E60" s="2">
        <v>0</v>
      </c>
      <c r="F60" s="2">
        <v>3.5308447743749998</v>
      </c>
      <c r="G60" s="2">
        <v>3.3353113545624997</v>
      </c>
      <c r="H60" s="2">
        <v>0</v>
      </c>
      <c r="I60" s="2">
        <v>220.34937500000001</v>
      </c>
      <c r="J60" s="2">
        <v>32.738926293062505</v>
      </c>
      <c r="K60" s="2">
        <v>3.4711057693749998</v>
      </c>
      <c r="L60" s="2">
        <v>7.0343749999999998</v>
      </c>
      <c r="M60" s="2">
        <v>7</v>
      </c>
      <c r="N60" s="2">
        <v>4.4829807585624994</v>
      </c>
      <c r="O60" s="2">
        <v>0</v>
      </c>
      <c r="P60" s="2">
        <v>10.284455116874998</v>
      </c>
      <c r="Q60" s="2">
        <v>1.1853685789374999</v>
      </c>
      <c r="R60" s="2">
        <v>126.15064102562499</v>
      </c>
      <c r="S60" s="2">
        <v>2.083333125E-4</v>
      </c>
      <c r="T60" s="2">
        <v>1.8749999999999999E-3</v>
      </c>
      <c r="U60" s="2">
        <v>4.1041666687499999E-2</v>
      </c>
      <c r="V60" s="2">
        <v>8.6458333312499996E-2</v>
      </c>
      <c r="W60" s="2">
        <v>7.9375000000000001E-2</v>
      </c>
    </row>
    <row r="61" spans="1:23">
      <c r="A61" t="s">
        <v>106</v>
      </c>
      <c r="B61" s="2">
        <v>80.34375</v>
      </c>
      <c r="C61" s="2">
        <v>20.225737184062499</v>
      </c>
      <c r="D61" s="2">
        <v>8.3928571419999987</v>
      </c>
      <c r="E61" s="2">
        <v>0</v>
      </c>
      <c r="F61" s="2">
        <v>3.6173832359999998</v>
      </c>
      <c r="G61" s="2">
        <v>3.5516575080624997</v>
      </c>
      <c r="H61" s="2">
        <v>0</v>
      </c>
      <c r="I61" s="2">
        <v>324.65493055512502</v>
      </c>
      <c r="J61" s="2">
        <v>15.407729703999999</v>
      </c>
      <c r="K61" s="2">
        <v>2.0293322653749999</v>
      </c>
      <c r="L61" s="2">
        <v>7.2843749974999996</v>
      </c>
      <c r="M61" s="2">
        <v>7</v>
      </c>
      <c r="N61" s="2">
        <v>14.909262814437499</v>
      </c>
      <c r="O61" s="2">
        <v>0</v>
      </c>
      <c r="P61" s="2">
        <v>33.181891021125004</v>
      </c>
      <c r="Q61" s="2">
        <v>3.0135737140624999</v>
      </c>
      <c r="R61" s="2">
        <v>100.496794870125</v>
      </c>
      <c r="S61" s="2">
        <v>2.083333125E-4</v>
      </c>
      <c r="T61" s="2">
        <v>1.8749999999999999E-3</v>
      </c>
      <c r="U61" s="2">
        <v>4.1041666687499999E-2</v>
      </c>
      <c r="V61" s="2">
        <v>8.6458333312499996E-2</v>
      </c>
      <c r="W61" s="2">
        <v>7.9375000000000001E-2</v>
      </c>
    </row>
    <row r="62" spans="1:23">
      <c r="A62" t="s">
        <v>107</v>
      </c>
      <c r="B62" s="2">
        <v>90.75</v>
      </c>
      <c r="C62" s="2">
        <v>15.97344552240625</v>
      </c>
      <c r="D62" s="2">
        <v>13.928571435</v>
      </c>
      <c r="E62" s="2">
        <v>0</v>
      </c>
      <c r="F62" s="2">
        <v>1.2063564497499999</v>
      </c>
      <c r="G62" s="2">
        <v>0.33695512765625002</v>
      </c>
      <c r="H62" s="2">
        <v>0</v>
      </c>
      <c r="I62" s="2">
        <v>220.3309375</v>
      </c>
      <c r="J62" s="2">
        <v>34.698389433687495</v>
      </c>
      <c r="K62" s="2">
        <v>3.4422836542500002</v>
      </c>
      <c r="L62" s="2">
        <v>10.5328125</v>
      </c>
      <c r="M62" s="2">
        <v>10.5</v>
      </c>
      <c r="N62" s="2">
        <v>4.4065544775937502</v>
      </c>
      <c r="O62" s="2">
        <v>0</v>
      </c>
      <c r="P62" s="2">
        <v>10.5620993480625</v>
      </c>
      <c r="Q62" s="2">
        <v>1.1615945414062501</v>
      </c>
      <c r="R62" s="2">
        <v>125.8926282055625</v>
      </c>
      <c r="S62" s="2">
        <v>1.0416665625E-4</v>
      </c>
      <c r="T62" s="2">
        <v>9.3749999999999997E-4</v>
      </c>
      <c r="U62" s="2">
        <v>2.0520833343749999E-2</v>
      </c>
      <c r="V62" s="2">
        <v>4.3229166656249998E-2</v>
      </c>
      <c r="W62" s="2">
        <v>3.9687500000000001E-2</v>
      </c>
    </row>
    <row r="63" spans="1:23">
      <c r="A63" t="s">
        <v>108</v>
      </c>
      <c r="B63" s="2">
        <v>87</v>
      </c>
      <c r="C63" s="2">
        <v>20.358060902406251</v>
      </c>
      <c r="D63" s="2">
        <v>11.6456043975</v>
      </c>
      <c r="E63" s="2">
        <v>0</v>
      </c>
      <c r="F63" s="2">
        <v>1.7420707360000001</v>
      </c>
      <c r="G63" s="2">
        <v>2.4798122689062501</v>
      </c>
      <c r="H63" s="2">
        <v>0</v>
      </c>
      <c r="I63" s="2">
        <v>324.61085203012499</v>
      </c>
      <c r="J63" s="2">
        <v>18.851167203999999</v>
      </c>
      <c r="K63" s="2">
        <v>1.990894765375</v>
      </c>
      <c r="L63" s="2">
        <v>10.7828124975</v>
      </c>
      <c r="M63" s="2">
        <v>10.5</v>
      </c>
      <c r="N63" s="2">
        <v>14.775785250093747</v>
      </c>
      <c r="O63" s="2">
        <v>0</v>
      </c>
      <c r="P63" s="2">
        <v>34.158253200562498</v>
      </c>
      <c r="Q63" s="2">
        <v>3.1791586494062498</v>
      </c>
      <c r="R63" s="2">
        <v>99.50160256256251</v>
      </c>
      <c r="S63" s="2">
        <v>1.0416665625E-4</v>
      </c>
      <c r="T63" s="2">
        <v>9.3749999999999997E-4</v>
      </c>
      <c r="U63" s="2">
        <v>2.0520833343749999E-2</v>
      </c>
      <c r="V63" s="2">
        <v>4.3229166656249998E-2</v>
      </c>
      <c r="W63" s="2">
        <v>3.9687500000000001E-2</v>
      </c>
    </row>
    <row r="64" spans="1:23">
      <c r="A64" t="s">
        <v>109</v>
      </c>
      <c r="B64" s="2">
        <v>71.5</v>
      </c>
      <c r="C64" s="2">
        <v>15.500000010000001</v>
      </c>
      <c r="D64" s="2">
        <v>10.9821428625</v>
      </c>
      <c r="E64" s="2">
        <v>0</v>
      </c>
      <c r="F64" s="2">
        <v>1.6071428512499999</v>
      </c>
      <c r="G64" s="2">
        <v>2.1428571412499999</v>
      </c>
      <c r="H64" s="2">
        <v>0</v>
      </c>
      <c r="I64" s="2">
        <v>372.96875</v>
      </c>
      <c r="J64" s="2">
        <v>28.718750009937501</v>
      </c>
      <c r="K64" s="2">
        <v>3.25</v>
      </c>
      <c r="L64" s="2">
        <v>3.53125</v>
      </c>
      <c r="M64" s="2">
        <v>3.5</v>
      </c>
      <c r="N64" s="2">
        <v>3.9999999900000001</v>
      </c>
      <c r="O64" s="2">
        <v>0</v>
      </c>
      <c r="P64" s="2">
        <v>7.7499999900000001</v>
      </c>
      <c r="Q64" s="2">
        <v>0.99999998999999995</v>
      </c>
      <c r="R64" s="2">
        <v>114.75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</row>
    <row r="65" spans="1:23">
      <c r="A65" t="s">
        <v>110</v>
      </c>
      <c r="B65" s="2">
        <v>77.625</v>
      </c>
      <c r="C65" s="2">
        <v>21.13461539</v>
      </c>
      <c r="D65" s="2">
        <v>11.824175826249999</v>
      </c>
      <c r="E65" s="2">
        <v>0</v>
      </c>
      <c r="F65" s="2">
        <v>1.8749999937499999</v>
      </c>
      <c r="G65" s="2">
        <v>2.8571428550000002</v>
      </c>
      <c r="H65" s="2">
        <v>0</v>
      </c>
      <c r="I65" s="2">
        <v>410.76428953012498</v>
      </c>
      <c r="J65" s="2">
        <v>18.121527780249998</v>
      </c>
      <c r="K65" s="2">
        <v>2.0486111111250001</v>
      </c>
      <c r="L65" s="2">
        <v>7.2812499974999998</v>
      </c>
      <c r="M65" s="2">
        <v>7</v>
      </c>
      <c r="N65" s="2">
        <v>14.369230762499999</v>
      </c>
      <c r="O65" s="2">
        <v>0</v>
      </c>
      <c r="P65" s="2">
        <v>32.096153842500001</v>
      </c>
      <c r="Q65" s="2">
        <v>3.0175640979999998</v>
      </c>
      <c r="R65" s="2">
        <v>92.108974357000008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</row>
    <row r="66" spans="1:23">
      <c r="A66" t="s">
        <v>111</v>
      </c>
      <c r="B66" s="2">
        <v>77.4375</v>
      </c>
      <c r="C66" s="2">
        <v>15</v>
      </c>
      <c r="D66" s="2">
        <v>10.9821428625</v>
      </c>
      <c r="E66" s="2">
        <v>0</v>
      </c>
      <c r="F66" s="2">
        <v>1.6071428512499999</v>
      </c>
      <c r="G66" s="2">
        <v>2.1428571412499999</v>
      </c>
      <c r="H66" s="2">
        <v>0</v>
      </c>
      <c r="I66" s="2">
        <v>227.65625</v>
      </c>
      <c r="J66" s="2">
        <v>34.135416677437505</v>
      </c>
      <c r="K66" s="2">
        <v>4.5833333224999997</v>
      </c>
      <c r="L66" s="2">
        <v>7.03125</v>
      </c>
      <c r="M66" s="2">
        <v>7</v>
      </c>
      <c r="N66" s="2">
        <v>3.25</v>
      </c>
      <c r="O66" s="2">
        <v>0</v>
      </c>
      <c r="P66" s="2">
        <v>0.75</v>
      </c>
      <c r="Q66" s="2">
        <v>0.78</v>
      </c>
      <c r="R66" s="2">
        <v>3.75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</row>
    <row r="67" spans="1:23">
      <c r="A67" t="s">
        <v>112</v>
      </c>
      <c r="B67" s="2">
        <v>76.1875</v>
      </c>
      <c r="C67" s="2">
        <v>17.259615387499998</v>
      </c>
      <c r="D67" s="2">
        <v>11.449175826249999</v>
      </c>
      <c r="E67" s="2">
        <v>0</v>
      </c>
      <c r="F67" s="2">
        <v>1.8749999937499999</v>
      </c>
      <c r="G67" s="2">
        <v>2.8571428550000002</v>
      </c>
      <c r="H67" s="2">
        <v>0</v>
      </c>
      <c r="I67" s="2">
        <v>284.269497865625</v>
      </c>
      <c r="J67" s="2">
        <v>26.371527785249999</v>
      </c>
      <c r="K67" s="2">
        <v>3.2986111036249999</v>
      </c>
      <c r="L67" s="2">
        <v>7.03125</v>
      </c>
      <c r="M67" s="2">
        <v>7</v>
      </c>
      <c r="N67" s="2">
        <v>8.0192307674999999</v>
      </c>
      <c r="O67" s="2">
        <v>0</v>
      </c>
      <c r="P67" s="2">
        <v>14.596153845</v>
      </c>
      <c r="Q67" s="2">
        <v>2.5592307674999999</v>
      </c>
      <c r="R67" s="2">
        <v>5.1923076899999998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113</v>
      </c>
      <c r="B68" s="2">
        <v>72.78125</v>
      </c>
      <c r="C68" s="2">
        <v>15.8750000025</v>
      </c>
      <c r="D68" s="2">
        <v>8.2857142869999993</v>
      </c>
      <c r="E68" s="2">
        <v>0</v>
      </c>
      <c r="F68" s="2">
        <v>2.1428571375000001</v>
      </c>
      <c r="G68" s="2">
        <v>4.2857142824999999</v>
      </c>
      <c r="H68" s="2">
        <v>0</v>
      </c>
      <c r="I68" s="2">
        <v>156.30555555762498</v>
      </c>
      <c r="J68" s="2">
        <v>25.529861118624996</v>
      </c>
      <c r="K68" s="2">
        <v>3.148611103625</v>
      </c>
      <c r="L68" s="2">
        <v>7.53125</v>
      </c>
      <c r="M68" s="2">
        <v>7.5</v>
      </c>
      <c r="N68" s="2">
        <v>7.2499999984999999</v>
      </c>
      <c r="O68" s="2">
        <v>0</v>
      </c>
      <c r="P68" s="2">
        <v>12.299999999000001</v>
      </c>
      <c r="Q68" s="2">
        <v>2.2899999984999999</v>
      </c>
      <c r="R68" s="2">
        <v>2.7499999979999998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114</v>
      </c>
      <c r="B69" s="2">
        <v>72.78125</v>
      </c>
      <c r="C69" s="2">
        <v>15.8750000025</v>
      </c>
      <c r="D69" s="2">
        <v>8.2857142869999993</v>
      </c>
      <c r="E69" s="2">
        <v>0</v>
      </c>
      <c r="F69" s="2">
        <v>2.1428571375000001</v>
      </c>
      <c r="G69" s="2">
        <v>4.2857142824999999</v>
      </c>
      <c r="H69" s="2">
        <v>0</v>
      </c>
      <c r="I69" s="2">
        <v>211.30555555512501</v>
      </c>
      <c r="J69" s="2">
        <v>19.779861116124998</v>
      </c>
      <c r="K69" s="2">
        <v>2.1486111061250002</v>
      </c>
      <c r="L69" s="2">
        <v>7.53125</v>
      </c>
      <c r="M69" s="2">
        <v>7.5</v>
      </c>
      <c r="N69" s="2">
        <v>13.2499999985</v>
      </c>
      <c r="O69" s="2">
        <v>0</v>
      </c>
      <c r="P69" s="2">
        <v>12.299999999000001</v>
      </c>
      <c r="Q69" s="2">
        <v>2.6850000009999997</v>
      </c>
      <c r="R69" s="2">
        <v>8.9999999954999996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115</v>
      </c>
      <c r="B70" s="2">
        <v>61.65625</v>
      </c>
      <c r="C70" s="2">
        <v>15.7500000025</v>
      </c>
      <c r="D70" s="2">
        <v>5.351785714</v>
      </c>
      <c r="E70" s="2">
        <v>0</v>
      </c>
      <c r="F70" s="2">
        <v>1.7857142819999998</v>
      </c>
      <c r="G70" s="2">
        <v>3.9999999969999998</v>
      </c>
      <c r="H70" s="2">
        <v>0</v>
      </c>
      <c r="I70" s="2">
        <v>212.198412697625</v>
      </c>
      <c r="J70" s="2">
        <v>11.22867063775</v>
      </c>
      <c r="K70" s="2">
        <v>2.1021825361250004</v>
      </c>
      <c r="L70" s="2">
        <v>2.9681547582499999</v>
      </c>
      <c r="M70" s="2">
        <v>0</v>
      </c>
      <c r="N70" s="2">
        <v>14.308333329250001</v>
      </c>
      <c r="O70" s="2">
        <v>0</v>
      </c>
      <c r="P70" s="2">
        <v>33.157142856500002</v>
      </c>
      <c r="Q70" s="2">
        <v>2.8883333317499997</v>
      </c>
      <c r="R70" s="2">
        <v>96.380952389750007</v>
      </c>
      <c r="S70" s="2">
        <v>0</v>
      </c>
      <c r="T70" s="2">
        <v>0</v>
      </c>
      <c r="U70" s="2">
        <v>0</v>
      </c>
      <c r="V70" s="2">
        <v>0</v>
      </c>
      <c r="W70" s="2">
        <v>1.7857142849999998</v>
      </c>
    </row>
    <row r="71" spans="1:23">
      <c r="A71" t="s">
        <v>116</v>
      </c>
      <c r="B71" s="2">
        <v>67.34375</v>
      </c>
      <c r="C71" s="2">
        <v>11.454545452</v>
      </c>
      <c r="D71" s="2">
        <v>3.1818181780000003</v>
      </c>
      <c r="E71" s="2">
        <v>0</v>
      </c>
      <c r="F71" s="2">
        <v>3.8181818219999997</v>
      </c>
      <c r="G71" s="2">
        <v>3.8181818219999997</v>
      </c>
      <c r="H71" s="2">
        <v>0</v>
      </c>
      <c r="I71" s="2">
        <v>235.8798701305</v>
      </c>
      <c r="J71" s="2">
        <v>29.165773820125004</v>
      </c>
      <c r="K71" s="2">
        <v>4.4214285594999998</v>
      </c>
      <c r="L71" s="2">
        <v>4.8526785695000001</v>
      </c>
      <c r="M71" s="2">
        <v>0</v>
      </c>
      <c r="N71" s="2">
        <v>3</v>
      </c>
      <c r="O71" s="2">
        <v>0</v>
      </c>
      <c r="P71" s="2">
        <v>9.9428571435000013</v>
      </c>
      <c r="Q71" s="2">
        <v>0.94499999999999995</v>
      </c>
      <c r="R71" s="2">
        <v>65.785714304999999</v>
      </c>
      <c r="S71" s="2">
        <v>0</v>
      </c>
      <c r="T71" s="2">
        <v>0</v>
      </c>
      <c r="U71" s="2">
        <v>0</v>
      </c>
      <c r="V71" s="2">
        <v>0</v>
      </c>
      <c r="W71" s="2">
        <v>3.2142857129999998</v>
      </c>
    </row>
    <row r="72" spans="1:23">
      <c r="A72" t="s">
        <v>117</v>
      </c>
      <c r="B72" s="2">
        <v>66.34375</v>
      </c>
      <c r="C72" s="2">
        <v>12.3295454545</v>
      </c>
      <c r="D72" s="2">
        <v>3.4318181750000005</v>
      </c>
      <c r="E72" s="2">
        <v>0</v>
      </c>
      <c r="F72" s="2">
        <v>3.8181818219999997</v>
      </c>
      <c r="G72" s="2">
        <v>3.8181818219999997</v>
      </c>
      <c r="H72" s="2">
        <v>0</v>
      </c>
      <c r="I72" s="2">
        <v>338.37987012999997</v>
      </c>
      <c r="J72" s="2">
        <v>17.665773815125</v>
      </c>
      <c r="K72" s="2">
        <v>2.4214285645000002</v>
      </c>
      <c r="L72" s="2">
        <v>4.8526785695000001</v>
      </c>
      <c r="M72" s="2">
        <v>0</v>
      </c>
      <c r="N72" s="2">
        <v>13.2499999985</v>
      </c>
      <c r="O72" s="2">
        <v>0</v>
      </c>
      <c r="P72" s="2">
        <v>21.942857142500003</v>
      </c>
      <c r="Q72" s="2">
        <v>2.9100000009999998</v>
      </c>
      <c r="R72" s="2">
        <v>73.285714300500004</v>
      </c>
      <c r="S72" s="2">
        <v>0</v>
      </c>
      <c r="T72" s="2">
        <v>0</v>
      </c>
      <c r="U72" s="2">
        <v>0</v>
      </c>
      <c r="V72" s="2">
        <v>0</v>
      </c>
      <c r="W72" s="2">
        <v>3.2142857129999998</v>
      </c>
    </row>
    <row r="73" spans="1:23">
      <c r="A73" t="s">
        <v>118</v>
      </c>
      <c r="B73" s="2">
        <v>73.625</v>
      </c>
      <c r="C73" s="2">
        <v>15.562500003</v>
      </c>
      <c r="D73" s="2">
        <v>7.4107142892500004</v>
      </c>
      <c r="E73" s="2">
        <v>0</v>
      </c>
      <c r="F73" s="2">
        <v>1.5535714247499999</v>
      </c>
      <c r="G73" s="2">
        <v>2.7678571402499998</v>
      </c>
      <c r="H73" s="2">
        <v>0</v>
      </c>
      <c r="I73" s="2">
        <v>484.50992063181252</v>
      </c>
      <c r="J73" s="2">
        <v>24.565079370687499</v>
      </c>
      <c r="K73" s="2">
        <v>4.0707341258124998</v>
      </c>
      <c r="L73" s="2">
        <v>5.1026785669999999</v>
      </c>
      <c r="M73" s="2">
        <v>0</v>
      </c>
      <c r="N73" s="2">
        <v>10.7499999945</v>
      </c>
      <c r="O73" s="2">
        <v>0</v>
      </c>
      <c r="P73" s="2">
        <v>35.567857138250005</v>
      </c>
      <c r="Q73" s="2">
        <v>1.6749999965</v>
      </c>
      <c r="R73" s="2">
        <v>205.66071430599999</v>
      </c>
      <c r="S73" s="2">
        <v>0</v>
      </c>
      <c r="T73" s="2">
        <v>0</v>
      </c>
      <c r="U73" s="2">
        <v>0</v>
      </c>
      <c r="V73" s="2">
        <v>0</v>
      </c>
      <c r="W73" s="2">
        <v>3.2142857129999998</v>
      </c>
    </row>
    <row r="74" spans="1:23">
      <c r="A74" t="s">
        <v>119</v>
      </c>
      <c r="B74" s="2">
        <v>63.15625</v>
      </c>
      <c r="C74" s="2">
        <v>13.25</v>
      </c>
      <c r="D74" s="2">
        <v>7.3928571467499999</v>
      </c>
      <c r="E74" s="2">
        <v>0</v>
      </c>
      <c r="F74" s="2">
        <v>1.8392857094999999</v>
      </c>
      <c r="G74" s="2">
        <v>3.57142856875</v>
      </c>
      <c r="H74" s="2">
        <v>0</v>
      </c>
      <c r="I74" s="2">
        <v>180.5590277778125</v>
      </c>
      <c r="J74" s="2">
        <v>43.440079373187501</v>
      </c>
      <c r="K74" s="2">
        <v>0.1243055555625</v>
      </c>
      <c r="L74" s="2">
        <v>20.03125</v>
      </c>
      <c r="M74" s="2">
        <v>20</v>
      </c>
      <c r="N74" s="2">
        <v>2.0357142735</v>
      </c>
      <c r="O74" s="2">
        <v>0</v>
      </c>
      <c r="P74" s="2">
        <v>0.3</v>
      </c>
      <c r="Q74" s="2">
        <v>1.3232142735000001</v>
      </c>
      <c r="R74" s="2">
        <v>32.035714273499998</v>
      </c>
      <c r="S74" s="2">
        <v>0.2544642735</v>
      </c>
      <c r="T74" s="2">
        <v>1.9339285754999997</v>
      </c>
      <c r="U74" s="2">
        <v>81.428571424499992</v>
      </c>
      <c r="V74" s="2">
        <v>0</v>
      </c>
      <c r="W74" s="2">
        <v>0</v>
      </c>
    </row>
    <row r="75" spans="1:23">
      <c r="A75" t="s">
        <v>120</v>
      </c>
      <c r="B75" s="2">
        <v>68.8125</v>
      </c>
      <c r="C75" s="2">
        <v>17.1295833315625</v>
      </c>
      <c r="D75" s="2">
        <v>8.2250000014999998</v>
      </c>
      <c r="E75" s="2">
        <v>0</v>
      </c>
      <c r="F75" s="2">
        <v>2.2506249987499998</v>
      </c>
      <c r="G75" s="2">
        <v>2.1258333338124999</v>
      </c>
      <c r="H75" s="2">
        <v>0</v>
      </c>
      <c r="I75" s="2">
        <v>308.69312499800003</v>
      </c>
      <c r="J75" s="2">
        <v>12.969375004249999</v>
      </c>
      <c r="K75" s="2">
        <v>3.2185416642499995</v>
      </c>
      <c r="L75" s="2">
        <v>0.35104166349999999</v>
      </c>
      <c r="M75" s="2">
        <v>0</v>
      </c>
      <c r="N75" s="2">
        <v>10.672083330937499</v>
      </c>
      <c r="O75" s="2">
        <v>0</v>
      </c>
      <c r="P75" s="2">
        <v>26.264583331624998</v>
      </c>
      <c r="Q75" s="2">
        <v>1.4236249995625001</v>
      </c>
      <c r="R75" s="2">
        <v>99.916666668125004</v>
      </c>
      <c r="S75" s="2">
        <v>2.083333125E-4</v>
      </c>
      <c r="T75" s="2">
        <v>1.8749999999999999E-3</v>
      </c>
      <c r="U75" s="2">
        <v>4.1041666687499999E-2</v>
      </c>
      <c r="V75" s="2">
        <v>8.6458333312499996E-2</v>
      </c>
      <c r="W75" s="2">
        <v>7.9375000000000001E-2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1F42-FD8E-4F68-B878-DD5D6B844392}">
  <dimension ref="A1:W75"/>
  <sheetViews>
    <sheetView workbookViewId="0">
      <selection activeCell="F11" sqref="F11"/>
    </sheetView>
  </sheetViews>
  <sheetFormatPr defaultRowHeight="15"/>
  <cols>
    <col min="1" max="1" width="28.7109375" bestFit="1" customWidth="1"/>
    <col min="2" max="2" width="18.85546875" bestFit="1" customWidth="1"/>
    <col min="3" max="3" width="8.5703125" bestFit="1" customWidth="1"/>
    <col min="4" max="4" width="12.5703125" bestFit="1" customWidth="1"/>
    <col min="6" max="6" width="20.28515625" bestFit="1" customWidth="1"/>
    <col min="7" max="7" width="19" bestFit="1" customWidth="1"/>
    <col min="8" max="8" width="15.7109375" bestFit="1" customWidth="1"/>
    <col min="9" max="9" width="12.7109375" bestFit="1" customWidth="1"/>
    <col min="10" max="10" width="19.42578125" bestFit="1" customWidth="1"/>
    <col min="11" max="11" width="12" bestFit="1" customWidth="1"/>
    <col min="12" max="12" width="11.85546875" bestFit="1" customWidth="1"/>
    <col min="13" max="13" width="13.140625" bestFit="1" customWidth="1"/>
    <col min="14" max="14" width="7.28515625" bestFit="1" customWidth="1"/>
    <col min="15" max="15" width="15.7109375" bestFit="1" customWidth="1"/>
    <col min="16" max="16" width="13.42578125" bestFit="1" customWidth="1"/>
    <col min="18" max="18" width="15.140625" bestFit="1" customWidth="1"/>
    <col min="19" max="19" width="13.42578125" bestFit="1" customWidth="1"/>
    <col min="20" max="20" width="6.85546875" bestFit="1" customWidth="1"/>
    <col min="21" max="21" width="12" bestFit="1" customWidth="1"/>
    <col min="22" max="22" width="16.42578125" bestFit="1" customWidth="1"/>
    <col min="23" max="23" width="16.7109375" bestFit="1" customWidth="1"/>
  </cols>
  <sheetData>
    <row r="1" spans="1:23">
      <c r="A1" t="s">
        <v>159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141</v>
      </c>
      <c r="U1" t="s">
        <v>142</v>
      </c>
      <c r="V1" t="s">
        <v>143</v>
      </c>
      <c r="W1" t="s">
        <v>144</v>
      </c>
    </row>
    <row r="2" spans="1:23">
      <c r="A2" t="s">
        <v>158</v>
      </c>
      <c r="B2" s="2" cm="1">
        <f t="array" ref="B2:W75">MMULT(RecXIngred!B5:BJ78, IngredXNut!B2:W62)/5</f>
        <v>54</v>
      </c>
      <c r="C2" s="2">
        <v>15.011538465000001</v>
      </c>
      <c r="D2" s="2">
        <v>4.6050824148</v>
      </c>
      <c r="E2" s="2">
        <v>0</v>
      </c>
      <c r="F2" s="2">
        <v>0.68571428400000001</v>
      </c>
      <c r="G2" s="2">
        <v>1.3714285704</v>
      </c>
      <c r="H2" s="2">
        <v>0</v>
      </c>
      <c r="I2" s="2">
        <v>184.61645299424998</v>
      </c>
      <c r="J2" s="2">
        <v>14.6986111131</v>
      </c>
      <c r="K2" s="2">
        <v>3.9069444424499999</v>
      </c>
      <c r="L2" s="2">
        <v>7.15</v>
      </c>
      <c r="M2" s="2">
        <v>6</v>
      </c>
      <c r="N2" s="2">
        <v>12.023076921000001</v>
      </c>
      <c r="O2" s="2">
        <v>0</v>
      </c>
      <c r="P2" s="2">
        <v>26.740384614</v>
      </c>
      <c r="Q2" s="2">
        <v>3.2855769209999997</v>
      </c>
      <c r="R2" s="2">
        <v>118.81326922600002</v>
      </c>
      <c r="S2" s="2">
        <v>4.0000002E-2</v>
      </c>
      <c r="T2" s="2">
        <v>0.36</v>
      </c>
      <c r="U2" s="2">
        <v>18</v>
      </c>
      <c r="V2" s="2">
        <v>0</v>
      </c>
      <c r="W2" s="2">
        <v>0</v>
      </c>
    </row>
    <row r="3" spans="1:23">
      <c r="A3" t="s">
        <v>157</v>
      </c>
      <c r="B3" s="2">
        <v>54</v>
      </c>
      <c r="C3" s="2">
        <v>13.8</v>
      </c>
      <c r="D3" s="2">
        <v>4.2589285728000004</v>
      </c>
      <c r="E3" s="2">
        <v>0</v>
      </c>
      <c r="F3" s="2">
        <v>0.68571428400000001</v>
      </c>
      <c r="G3" s="2">
        <v>1.3714285704</v>
      </c>
      <c r="H3" s="2">
        <v>0</v>
      </c>
      <c r="I3" s="2">
        <v>184.84722221925</v>
      </c>
      <c r="J3" s="2">
        <v>14.6986111131</v>
      </c>
      <c r="K3" s="2">
        <v>3.9069444424499999</v>
      </c>
      <c r="L3" s="2">
        <v>7.15</v>
      </c>
      <c r="M3" s="2">
        <v>6</v>
      </c>
      <c r="N3" s="2">
        <v>13.2</v>
      </c>
      <c r="O3" s="2">
        <v>0</v>
      </c>
      <c r="P3" s="2">
        <v>10.125</v>
      </c>
      <c r="Q3" s="2">
        <v>1.552500003</v>
      </c>
      <c r="R3" s="2">
        <v>124.58249999499999</v>
      </c>
      <c r="S3" s="2">
        <v>4.0000002E-2</v>
      </c>
      <c r="T3" s="2">
        <v>0.36</v>
      </c>
      <c r="U3" s="2">
        <v>18</v>
      </c>
      <c r="V3" s="2">
        <v>0</v>
      </c>
      <c r="W3" s="2">
        <v>0</v>
      </c>
    </row>
    <row r="4" spans="1:23">
      <c r="A4" t="s">
        <v>156</v>
      </c>
      <c r="B4" s="2">
        <v>54</v>
      </c>
      <c r="C4" s="2">
        <v>13.8</v>
      </c>
      <c r="D4" s="2">
        <v>4.2589285728000004</v>
      </c>
      <c r="E4" s="2">
        <v>0</v>
      </c>
      <c r="F4" s="2">
        <v>0.68571428400000001</v>
      </c>
      <c r="G4" s="2">
        <v>1.3714285704</v>
      </c>
      <c r="H4" s="2">
        <v>0</v>
      </c>
      <c r="I4" s="2">
        <v>118.84722222225</v>
      </c>
      <c r="J4" s="2">
        <v>14.6986111131</v>
      </c>
      <c r="K4" s="2">
        <v>3.9069444424499999</v>
      </c>
      <c r="L4" s="2">
        <v>7.15</v>
      </c>
      <c r="M4" s="2">
        <v>6</v>
      </c>
      <c r="N4" s="2">
        <v>12.3</v>
      </c>
      <c r="O4" s="2">
        <v>0</v>
      </c>
      <c r="P4" s="2">
        <v>13.725</v>
      </c>
      <c r="Q4" s="2">
        <v>1.4024999999999999</v>
      </c>
      <c r="R4" s="2">
        <v>117.082499998</v>
      </c>
      <c r="S4" s="2">
        <v>4.0000002E-2</v>
      </c>
      <c r="T4" s="2">
        <v>0.36</v>
      </c>
      <c r="U4" s="2">
        <v>18</v>
      </c>
      <c r="V4" s="2">
        <v>0</v>
      </c>
      <c r="W4" s="2">
        <v>0</v>
      </c>
    </row>
    <row r="5" spans="1:23">
      <c r="A5" t="s">
        <v>155</v>
      </c>
      <c r="B5" s="2">
        <v>43.424999999999997</v>
      </c>
      <c r="C5" s="2">
        <v>7.2</v>
      </c>
      <c r="D5" s="2">
        <v>1.35</v>
      </c>
      <c r="E5" s="2">
        <v>0</v>
      </c>
      <c r="F5" s="2">
        <v>0</v>
      </c>
      <c r="G5" s="2">
        <v>0</v>
      </c>
      <c r="H5" s="2">
        <v>0</v>
      </c>
      <c r="I5" s="2">
        <v>107.75694444450001</v>
      </c>
      <c r="J5" s="2">
        <v>12.637222224350001</v>
      </c>
      <c r="K5" s="2">
        <v>3.6022222200999998</v>
      </c>
      <c r="L5" s="2">
        <v>5.3250000000000002</v>
      </c>
      <c r="M5" s="2">
        <v>4.4000000000000004</v>
      </c>
      <c r="N5" s="2">
        <v>11.440000000000001</v>
      </c>
      <c r="O5" s="2">
        <v>0</v>
      </c>
      <c r="P5" s="2">
        <v>11.7</v>
      </c>
      <c r="Q5" s="2">
        <v>1.31</v>
      </c>
      <c r="R5" s="2">
        <v>94.4713333312</v>
      </c>
      <c r="S5" s="2">
        <v>4.2666668800000002E-2</v>
      </c>
      <c r="T5" s="2">
        <v>0.38400000000000001</v>
      </c>
      <c r="U5" s="2">
        <v>19.2</v>
      </c>
      <c r="V5" s="2">
        <v>0</v>
      </c>
      <c r="W5" s="2">
        <v>0</v>
      </c>
    </row>
    <row r="6" spans="1:23">
      <c r="A6" t="s">
        <v>154</v>
      </c>
      <c r="B6" s="2">
        <v>31.074999999999999</v>
      </c>
      <c r="C6" s="2">
        <v>7.646153848</v>
      </c>
      <c r="D6" s="2">
        <v>5.1131868134000005</v>
      </c>
      <c r="E6" s="2">
        <v>0</v>
      </c>
      <c r="F6" s="2">
        <v>0.7857142829999999</v>
      </c>
      <c r="G6" s="2">
        <v>1.142857142</v>
      </c>
      <c r="H6" s="2">
        <v>0</v>
      </c>
      <c r="I6" s="2">
        <v>95.583867522900007</v>
      </c>
      <c r="J6" s="2">
        <v>7.130555556900001</v>
      </c>
      <c r="K6" s="2">
        <v>1.3722222208999999</v>
      </c>
      <c r="L6" s="2">
        <v>4.0250000000000004</v>
      </c>
      <c r="M6" s="2">
        <v>4</v>
      </c>
      <c r="N6" s="2">
        <v>6.652307691199999</v>
      </c>
      <c r="O6" s="2">
        <v>0</v>
      </c>
      <c r="P6" s="2">
        <v>10.1415384608</v>
      </c>
      <c r="Q6" s="2">
        <v>1.6843076912000001</v>
      </c>
      <c r="R6" s="2">
        <v>3.3364102536000004</v>
      </c>
      <c r="S6" s="2">
        <v>2.6666667999999998E-2</v>
      </c>
      <c r="T6" s="2">
        <v>0.24</v>
      </c>
      <c r="U6" s="2">
        <v>12</v>
      </c>
      <c r="V6" s="2">
        <v>0</v>
      </c>
      <c r="W6" s="2">
        <v>0</v>
      </c>
    </row>
    <row r="7" spans="1:23">
      <c r="A7" t="s">
        <v>153</v>
      </c>
      <c r="B7" s="2">
        <v>62.024999999999999</v>
      </c>
      <c r="C7" s="2">
        <v>16.020833333324997</v>
      </c>
      <c r="D7" s="2">
        <v>10.072142862000002</v>
      </c>
      <c r="E7" s="2">
        <v>0</v>
      </c>
      <c r="F7" s="2">
        <v>1.5714285659999998</v>
      </c>
      <c r="G7" s="2">
        <v>2.285714284</v>
      </c>
      <c r="H7" s="2">
        <v>0</v>
      </c>
      <c r="I7" s="2">
        <v>119.57777777782501</v>
      </c>
      <c r="J7" s="2">
        <v>10.751388890574999</v>
      </c>
      <c r="K7" s="2">
        <v>0.6180555539</v>
      </c>
      <c r="L7" s="2">
        <v>6.1999999986749996</v>
      </c>
      <c r="M7" s="2">
        <v>6</v>
      </c>
      <c r="N7" s="2">
        <v>13.436666665325001</v>
      </c>
      <c r="O7" s="2">
        <v>0</v>
      </c>
      <c r="P7" s="2">
        <v>14.083333333325001</v>
      </c>
      <c r="Q7" s="2">
        <v>1.2848333320000001</v>
      </c>
      <c r="R7" s="2">
        <v>26.683333333</v>
      </c>
      <c r="S7" s="2">
        <v>3.3333335000000006E-2</v>
      </c>
      <c r="T7" s="2">
        <v>0.3</v>
      </c>
      <c r="U7" s="2">
        <v>15</v>
      </c>
      <c r="V7" s="2">
        <v>0</v>
      </c>
      <c r="W7" s="2">
        <v>0.10500000000000001</v>
      </c>
    </row>
    <row r="8" spans="1:23">
      <c r="A8" t="s">
        <v>152</v>
      </c>
      <c r="B8" s="2">
        <v>65.400000000000006</v>
      </c>
      <c r="C8" s="2">
        <v>17.942307695</v>
      </c>
      <c r="D8" s="2">
        <v>8.854945056</v>
      </c>
      <c r="E8" s="2">
        <v>0</v>
      </c>
      <c r="F8" s="2">
        <v>1.8571428519999997</v>
      </c>
      <c r="G8" s="2">
        <v>3.428571426</v>
      </c>
      <c r="H8" s="2">
        <v>0</v>
      </c>
      <c r="I8" s="2">
        <v>170.72329060050001</v>
      </c>
      <c r="J8" s="2">
        <v>9.1555555569000013</v>
      </c>
      <c r="K8" s="2">
        <v>2.7722222209000003</v>
      </c>
      <c r="L8" s="2">
        <v>5.0499999979999997</v>
      </c>
      <c r="M8" s="2">
        <v>4.8</v>
      </c>
      <c r="N8" s="2">
        <v>12.784615381</v>
      </c>
      <c r="O8" s="2">
        <v>0</v>
      </c>
      <c r="P8" s="2">
        <v>27.723076922000001</v>
      </c>
      <c r="Q8" s="2">
        <v>2.7046153809999995</v>
      </c>
      <c r="R8" s="2">
        <v>45.359487178000009</v>
      </c>
      <c r="S8" s="2">
        <v>2.6666667999999998E-2</v>
      </c>
      <c r="T8" s="2">
        <v>0.24</v>
      </c>
      <c r="U8" s="2">
        <v>12</v>
      </c>
      <c r="V8" s="2">
        <v>0</v>
      </c>
      <c r="W8" s="2">
        <v>0</v>
      </c>
    </row>
    <row r="9" spans="1:23">
      <c r="A9" t="s">
        <v>151</v>
      </c>
      <c r="B9" s="2">
        <v>64.974999999999994</v>
      </c>
      <c r="C9" s="2">
        <v>16.968213992324998</v>
      </c>
      <c r="D9" s="2">
        <v>11.86893143</v>
      </c>
      <c r="E9" s="2">
        <v>0</v>
      </c>
      <c r="F9" s="2">
        <v>0.63</v>
      </c>
      <c r="G9" s="2">
        <v>1.19</v>
      </c>
      <c r="H9" s="2">
        <v>0</v>
      </c>
      <c r="I9" s="2">
        <v>239.41217948932498</v>
      </c>
      <c r="J9" s="2">
        <v>10.687401958675</v>
      </c>
      <c r="K9" s="2">
        <v>0.68897059000000005</v>
      </c>
      <c r="L9" s="2">
        <v>5.0583333316749997</v>
      </c>
      <c r="M9" s="2">
        <v>4.8</v>
      </c>
      <c r="N9" s="2">
        <v>13.484027145324998</v>
      </c>
      <c r="O9" s="2">
        <v>0</v>
      </c>
      <c r="P9" s="2">
        <v>27.265233783324998</v>
      </c>
      <c r="Q9" s="2">
        <v>2.8857232220000002</v>
      </c>
      <c r="R9" s="2">
        <v>44.914781297000005</v>
      </c>
      <c r="S9" s="2">
        <v>3.5294117999999999E-2</v>
      </c>
      <c r="T9" s="2">
        <v>0.17647059000000001</v>
      </c>
      <c r="U9" s="2">
        <v>22.411764708</v>
      </c>
      <c r="V9" s="2">
        <v>0</v>
      </c>
      <c r="W9" s="2">
        <v>0.10500000000000001</v>
      </c>
    </row>
    <row r="10" spans="1:23">
      <c r="A10" t="s">
        <v>150</v>
      </c>
      <c r="B10" s="2">
        <v>61.975000000000001</v>
      </c>
      <c r="C10" s="2">
        <v>12.820753666325</v>
      </c>
      <c r="D10" s="2">
        <v>10.076611553999999</v>
      </c>
      <c r="E10" s="2">
        <v>0</v>
      </c>
      <c r="F10" s="2">
        <v>0.53999999999999992</v>
      </c>
      <c r="G10" s="2">
        <v>1.02</v>
      </c>
      <c r="H10" s="2">
        <v>0</v>
      </c>
      <c r="I10" s="2">
        <v>344.02756410232502</v>
      </c>
      <c r="J10" s="2">
        <v>7.3774019586749997</v>
      </c>
      <c r="K10" s="2">
        <v>2.1889705899999998</v>
      </c>
      <c r="L10" s="2">
        <v>2.5166666666749999</v>
      </c>
      <c r="M10" s="2">
        <v>2.4</v>
      </c>
      <c r="N10" s="2">
        <v>15.555822018324999</v>
      </c>
      <c r="O10" s="2">
        <v>0</v>
      </c>
      <c r="P10" s="2">
        <v>17.757541475324999</v>
      </c>
      <c r="Q10" s="2">
        <v>3.4675180980000002</v>
      </c>
      <c r="R10" s="2">
        <v>23.466063343000002</v>
      </c>
      <c r="S10" s="2">
        <v>3.5294117999999999E-2</v>
      </c>
      <c r="T10" s="2">
        <v>0.17647059000000001</v>
      </c>
      <c r="U10" s="2">
        <v>22.411764708</v>
      </c>
      <c r="V10" s="2">
        <v>0</v>
      </c>
      <c r="W10" s="2">
        <v>0.10500000000000001</v>
      </c>
    </row>
    <row r="11" spans="1:23">
      <c r="A11" t="s">
        <v>149</v>
      </c>
      <c r="B11" s="2">
        <v>57.05</v>
      </c>
      <c r="C11" s="2">
        <v>14.045733170649999</v>
      </c>
      <c r="D11" s="2">
        <v>6.345256322</v>
      </c>
      <c r="E11" s="2">
        <v>0</v>
      </c>
      <c r="F11" s="2">
        <v>1.555714284</v>
      </c>
      <c r="G11" s="2">
        <v>3.9385714260000002</v>
      </c>
      <c r="H11" s="2">
        <v>0</v>
      </c>
      <c r="I11" s="2">
        <v>330.63418803914999</v>
      </c>
      <c r="J11" s="2">
        <v>13.779035944899999</v>
      </c>
      <c r="K11" s="2">
        <v>0.30001634222500001</v>
      </c>
      <c r="L11" s="2">
        <v>7.3166666666750002</v>
      </c>
      <c r="M11" s="2">
        <v>7.2</v>
      </c>
      <c r="N11" s="2">
        <v>13.021907989325001</v>
      </c>
      <c r="O11" s="2">
        <v>0</v>
      </c>
      <c r="P11" s="2">
        <v>31.200226239999999</v>
      </c>
      <c r="Q11" s="2">
        <v>4.7857805359999999</v>
      </c>
      <c r="R11" s="2">
        <v>16.723981896000002</v>
      </c>
      <c r="S11" s="2">
        <v>4.7058823999999999E-2</v>
      </c>
      <c r="T11" s="2">
        <v>0.23529412</v>
      </c>
      <c r="U11" s="2">
        <v>29.882352944000001</v>
      </c>
      <c r="V11" s="2">
        <v>0</v>
      </c>
      <c r="W11" s="2">
        <v>0.21000000000000002</v>
      </c>
    </row>
    <row r="12" spans="1:23">
      <c r="A12" t="s">
        <v>148</v>
      </c>
      <c r="B12" s="2">
        <v>65.66</v>
      </c>
      <c r="C12" s="2">
        <v>18.492701332990002</v>
      </c>
      <c r="D12" s="2">
        <v>9.3691268459999986</v>
      </c>
      <c r="E12" s="2">
        <v>0</v>
      </c>
      <c r="F12" s="2">
        <v>1.8787912072200001</v>
      </c>
      <c r="G12" s="2">
        <v>4.6362637331199998</v>
      </c>
      <c r="H12" s="2">
        <v>0</v>
      </c>
      <c r="I12" s="2">
        <v>207.73226495714999</v>
      </c>
      <c r="J12" s="2">
        <v>7.8767244843500013</v>
      </c>
      <c r="K12" s="2">
        <v>0.91635495355999996</v>
      </c>
      <c r="L12" s="2">
        <v>4.23333333235</v>
      </c>
      <c r="M12" s="2">
        <v>4</v>
      </c>
      <c r="N12" s="2">
        <v>16.220987931310002</v>
      </c>
      <c r="O12" s="2">
        <v>0</v>
      </c>
      <c r="P12" s="2">
        <v>23.034539967329998</v>
      </c>
      <c r="Q12" s="2">
        <v>2.8579321252199996</v>
      </c>
      <c r="R12" s="2">
        <v>47.773800902879998</v>
      </c>
      <c r="S12" s="2">
        <v>1.7647059E-2</v>
      </c>
      <c r="T12" s="2">
        <v>8.8235295000000005E-2</v>
      </c>
      <c r="U12" s="2">
        <v>11.205882354</v>
      </c>
      <c r="V12" s="2">
        <v>0</v>
      </c>
      <c r="W12" s="2">
        <v>0.21000000000000002</v>
      </c>
    </row>
    <row r="13" spans="1:23">
      <c r="A13" t="s">
        <v>147</v>
      </c>
      <c r="B13" s="2">
        <v>61.5</v>
      </c>
      <c r="C13" s="2">
        <v>14.970493269925001</v>
      </c>
      <c r="D13" s="2">
        <v>8.9543740979999988</v>
      </c>
      <c r="E13" s="2">
        <v>0</v>
      </c>
      <c r="F13" s="2">
        <v>1.4148351637999999</v>
      </c>
      <c r="G13" s="2">
        <v>3.4049450528</v>
      </c>
      <c r="H13" s="2">
        <v>0</v>
      </c>
      <c r="I13" s="2">
        <v>222.21495726482499</v>
      </c>
      <c r="J13" s="2">
        <v>5.2480960425750007</v>
      </c>
      <c r="K13" s="2">
        <v>0.78670265330000011</v>
      </c>
      <c r="L13" s="2">
        <v>2.491666666675</v>
      </c>
      <c r="M13" s="2">
        <v>2.4</v>
      </c>
      <c r="N13" s="2">
        <v>18.087209850724999</v>
      </c>
      <c r="O13" s="2">
        <v>0</v>
      </c>
      <c r="P13" s="2">
        <v>19.223414304525004</v>
      </c>
      <c r="Q13" s="2">
        <v>3.0294217267999999</v>
      </c>
      <c r="R13" s="2">
        <v>30.940519565199999</v>
      </c>
      <c r="S13" s="2">
        <v>0</v>
      </c>
      <c r="T13" s="2">
        <v>0</v>
      </c>
      <c r="U13" s="2">
        <v>0</v>
      </c>
      <c r="V13" s="2">
        <v>0</v>
      </c>
      <c r="W13" s="2">
        <v>0.10500000000000001</v>
      </c>
    </row>
    <row r="14" spans="1:23">
      <c r="A14" t="s">
        <v>146</v>
      </c>
      <c r="B14" s="2">
        <v>58.174999999999997</v>
      </c>
      <c r="C14" s="2">
        <v>12.567468303250001</v>
      </c>
      <c r="D14" s="2">
        <v>8.5714070639999989</v>
      </c>
      <c r="E14" s="2">
        <v>0</v>
      </c>
      <c r="F14" s="2">
        <v>0.55794230779999998</v>
      </c>
      <c r="G14" s="2">
        <v>1.119564102125</v>
      </c>
      <c r="H14" s="2">
        <v>0</v>
      </c>
      <c r="I14" s="2">
        <v>229.537399572825</v>
      </c>
      <c r="J14" s="2">
        <v>3.7617670945750001</v>
      </c>
      <c r="K14" s="2">
        <v>0.72271581229999993</v>
      </c>
      <c r="L14" s="2">
        <v>2.5929166656749998</v>
      </c>
      <c r="M14" s="2">
        <v>2.4</v>
      </c>
      <c r="N14" s="2">
        <v>19.084923074400002</v>
      </c>
      <c r="O14" s="2">
        <v>0</v>
      </c>
      <c r="P14" s="2">
        <v>26.502243587775002</v>
      </c>
      <c r="Q14" s="2">
        <v>3.341288461125</v>
      </c>
      <c r="R14" s="2">
        <v>39.810897432449998</v>
      </c>
      <c r="S14" s="2">
        <v>8.3333324999999999E-5</v>
      </c>
      <c r="T14" s="2">
        <v>7.5000000000000002E-4</v>
      </c>
      <c r="U14" s="2">
        <v>1.6416666675E-2</v>
      </c>
      <c r="V14" s="2">
        <v>3.4583333325E-2</v>
      </c>
      <c r="W14" s="2">
        <v>0.13675000000000001</v>
      </c>
    </row>
    <row r="15" spans="1:23">
      <c r="A15" t="s">
        <v>60</v>
      </c>
      <c r="B15" s="2">
        <v>69</v>
      </c>
      <c r="C15" s="2">
        <v>20.496829026249998</v>
      </c>
      <c r="D15" s="2">
        <v>6.8320695139999996</v>
      </c>
      <c r="E15" s="2">
        <v>0</v>
      </c>
      <c r="F15" s="2">
        <v>2.5207994478</v>
      </c>
      <c r="G15" s="2">
        <v>6.4938498121249992</v>
      </c>
      <c r="H15" s="2">
        <v>0</v>
      </c>
      <c r="I15" s="2">
        <v>163.43868162582498</v>
      </c>
      <c r="J15" s="2">
        <v>14.441679375875001</v>
      </c>
      <c r="K15" s="2">
        <v>3.3999526533000002</v>
      </c>
      <c r="L15" s="2">
        <v>7.4429166646750007</v>
      </c>
      <c r="M15" s="2">
        <v>7.2</v>
      </c>
      <c r="N15" s="2">
        <v>12.617645746399997</v>
      </c>
      <c r="O15" s="2">
        <v>0</v>
      </c>
      <c r="P15" s="2">
        <v>39.673093791774996</v>
      </c>
      <c r="Q15" s="2">
        <v>4.1851076201250006</v>
      </c>
      <c r="R15" s="2">
        <v>346.67321187745</v>
      </c>
      <c r="S15" s="2">
        <v>8.3333324999999999E-5</v>
      </c>
      <c r="T15" s="2">
        <v>7.5000000000000002E-4</v>
      </c>
      <c r="U15" s="2">
        <v>1.6416666675E-2</v>
      </c>
      <c r="V15" s="2">
        <v>3.4583333325E-2</v>
      </c>
      <c r="W15" s="2">
        <v>0.13675000000000001</v>
      </c>
    </row>
    <row r="16" spans="1:23">
      <c r="A16" t="s">
        <v>61</v>
      </c>
      <c r="B16" s="2">
        <v>63.85</v>
      </c>
      <c r="C16" s="2">
        <v>19.86968490325</v>
      </c>
      <c r="D16" s="2">
        <v>9.4991268459999993</v>
      </c>
      <c r="E16" s="2">
        <v>0</v>
      </c>
      <c r="F16" s="2">
        <v>1.8436565917999999</v>
      </c>
      <c r="G16" s="2">
        <v>4.548135528125</v>
      </c>
      <c r="H16" s="2">
        <v>0</v>
      </c>
      <c r="I16" s="2">
        <v>207.438681623825</v>
      </c>
      <c r="J16" s="2">
        <v>12.398258323875002</v>
      </c>
      <c r="K16" s="2">
        <v>1.7946894943</v>
      </c>
      <c r="L16" s="2">
        <v>6.267916664675</v>
      </c>
      <c r="M16" s="2">
        <v>6</v>
      </c>
      <c r="N16" s="2">
        <v>12.691329957399997</v>
      </c>
      <c r="O16" s="2">
        <v>0</v>
      </c>
      <c r="P16" s="2">
        <v>28.536251687774996</v>
      </c>
      <c r="Q16" s="2">
        <v>2.5640549891250002</v>
      </c>
      <c r="R16" s="2">
        <v>81.278475034450011</v>
      </c>
      <c r="S16" s="2">
        <v>8.3333324999999999E-5</v>
      </c>
      <c r="T16" s="2">
        <v>7.5000000000000002E-4</v>
      </c>
      <c r="U16" s="2">
        <v>1.6416666675E-2</v>
      </c>
      <c r="V16" s="2">
        <v>3.4583333325E-2</v>
      </c>
      <c r="W16" s="2">
        <v>0.13675000000000001</v>
      </c>
    </row>
    <row r="17" spans="1:23">
      <c r="A17" t="s">
        <v>62</v>
      </c>
      <c r="B17" s="2">
        <v>63.2</v>
      </c>
      <c r="C17" s="2">
        <v>14.395491549925001</v>
      </c>
      <c r="D17" s="2">
        <v>8.8885331679999986</v>
      </c>
      <c r="E17" s="2">
        <v>0</v>
      </c>
      <c r="F17" s="2">
        <v>1.4148351637999999</v>
      </c>
      <c r="G17" s="2">
        <v>3.4049450528</v>
      </c>
      <c r="H17" s="2">
        <v>12.203389836000001</v>
      </c>
      <c r="I17" s="2">
        <v>213.28709980582499</v>
      </c>
      <c r="J17" s="2">
        <v>22.023409750075</v>
      </c>
      <c r="K17" s="2">
        <v>3.2119658100999997</v>
      </c>
      <c r="L17" s="2">
        <v>15.698446326675001</v>
      </c>
      <c r="M17" s="2">
        <v>15.2</v>
      </c>
      <c r="N17" s="2">
        <v>10.344842460724999</v>
      </c>
      <c r="O17" s="2">
        <v>0</v>
      </c>
      <c r="P17" s="2">
        <v>4.6778574585249997</v>
      </c>
      <c r="Q17" s="2">
        <v>0.28319230779999999</v>
      </c>
      <c r="R17" s="2">
        <v>125.98827770699999</v>
      </c>
      <c r="S17" s="2">
        <v>4.0000002000000002E-3</v>
      </c>
      <c r="T17" s="2">
        <v>3.5999999999999997E-2</v>
      </c>
      <c r="U17" s="2">
        <v>1.8</v>
      </c>
      <c r="V17" s="2">
        <v>0</v>
      </c>
      <c r="W17" s="2">
        <v>0.10500000000000001</v>
      </c>
    </row>
    <row r="18" spans="1:23">
      <c r="A18" t="s">
        <v>63</v>
      </c>
      <c r="B18" s="2">
        <v>63.9</v>
      </c>
      <c r="C18" s="2">
        <v>17.271947181925</v>
      </c>
      <c r="D18" s="2">
        <v>9.0112147605999997</v>
      </c>
      <c r="E18" s="2">
        <v>0</v>
      </c>
      <c r="F18" s="2">
        <v>1.4576923065999998</v>
      </c>
      <c r="G18" s="2">
        <v>3.5192307669999998</v>
      </c>
      <c r="H18" s="2">
        <v>0</v>
      </c>
      <c r="I18" s="2">
        <v>163.57777777582501</v>
      </c>
      <c r="J18" s="2">
        <v>15.135585719875001</v>
      </c>
      <c r="K18" s="2">
        <v>1.1584364023</v>
      </c>
      <c r="L18" s="2">
        <v>8.6941666646749987</v>
      </c>
      <c r="M18" s="2">
        <v>8.4</v>
      </c>
      <c r="N18" s="2">
        <v>12.460822018725001</v>
      </c>
      <c r="O18" s="2">
        <v>0</v>
      </c>
      <c r="P18" s="2">
        <v>17.696003014525001</v>
      </c>
      <c r="Q18" s="2">
        <v>1.4821334817999998</v>
      </c>
      <c r="R18" s="2">
        <v>67.466063349199999</v>
      </c>
      <c r="S18" s="2">
        <v>3.5294117999999999E-2</v>
      </c>
      <c r="T18" s="2">
        <v>0.17647059000000001</v>
      </c>
      <c r="U18" s="2">
        <v>22.411764708</v>
      </c>
      <c r="V18" s="2">
        <v>0</v>
      </c>
      <c r="W18" s="2">
        <v>0.10500000000000001</v>
      </c>
    </row>
    <row r="19" spans="1:23">
      <c r="A19" t="s">
        <v>64</v>
      </c>
      <c r="B19" s="2">
        <v>62.95</v>
      </c>
      <c r="C19" s="2">
        <v>15.448780353249997</v>
      </c>
      <c r="D19" s="2">
        <v>11.499700664000001</v>
      </c>
      <c r="E19" s="2">
        <v>0</v>
      </c>
      <c r="F19" s="2">
        <v>0.73794230780000003</v>
      </c>
      <c r="G19" s="2">
        <v>1.4595641021249999</v>
      </c>
      <c r="H19" s="2">
        <v>0</v>
      </c>
      <c r="I19" s="2">
        <v>163.59252777582498</v>
      </c>
      <c r="J19" s="2">
        <v>15.617453365874999</v>
      </c>
      <c r="K19" s="2">
        <v>0.9699216973</v>
      </c>
      <c r="L19" s="2">
        <v>7.3679166656749997</v>
      </c>
      <c r="M19" s="2">
        <v>7.2</v>
      </c>
      <c r="N19" s="2">
        <v>12.022694568399999</v>
      </c>
      <c r="O19" s="2">
        <v>0</v>
      </c>
      <c r="P19" s="2">
        <v>12.921248111775</v>
      </c>
      <c r="Q19" s="2">
        <v>1.5801874031250001</v>
      </c>
      <c r="R19" s="2">
        <v>52.267043740450006</v>
      </c>
      <c r="S19" s="2">
        <v>5.3024510324999996E-2</v>
      </c>
      <c r="T19" s="2">
        <v>0.265455885</v>
      </c>
      <c r="U19" s="2">
        <v>33.634063728675002</v>
      </c>
      <c r="V19" s="2">
        <v>3.4583333325E-2</v>
      </c>
      <c r="W19" s="2">
        <v>0.13675000000000001</v>
      </c>
    </row>
    <row r="20" spans="1:23">
      <c r="A20" t="s">
        <v>65</v>
      </c>
      <c r="B20" s="2">
        <v>74.174999999999997</v>
      </c>
      <c r="C20" s="2">
        <v>18.176673428500003</v>
      </c>
      <c r="D20" s="2">
        <v>9.207643332</v>
      </c>
      <c r="E20" s="2">
        <v>0</v>
      </c>
      <c r="F20" s="2">
        <v>1.8191813176</v>
      </c>
      <c r="G20" s="2">
        <v>3.7402271042500006</v>
      </c>
      <c r="H20" s="2">
        <v>0</v>
      </c>
      <c r="I20" s="2">
        <v>164.33783333139999</v>
      </c>
      <c r="J20" s="2">
        <v>21.235692308000001</v>
      </c>
      <c r="K20" s="2">
        <v>2.7302820514750001</v>
      </c>
      <c r="L20" s="2">
        <v>7.919166664675001</v>
      </c>
      <c r="M20" s="2">
        <v>7.2</v>
      </c>
      <c r="N20" s="2">
        <v>14.047282049474997</v>
      </c>
      <c r="O20" s="2">
        <v>0</v>
      </c>
      <c r="P20" s="2">
        <v>26.272435896900003</v>
      </c>
      <c r="Q20" s="2">
        <v>1.8072051282499999</v>
      </c>
      <c r="R20" s="2">
        <v>119.7128205129</v>
      </c>
      <c r="S20" s="2">
        <v>9.0166666650000005E-2</v>
      </c>
      <c r="T20" s="2">
        <v>1.5E-3</v>
      </c>
      <c r="U20" s="2">
        <v>3.283333335E-2</v>
      </c>
      <c r="V20" s="2">
        <v>58.569166666650005</v>
      </c>
      <c r="W20" s="2">
        <v>18.273500000000002</v>
      </c>
    </row>
    <row r="21" spans="1:23">
      <c r="A21" t="s">
        <v>66</v>
      </c>
      <c r="B21" s="2">
        <v>69.224999999999994</v>
      </c>
      <c r="C21" s="2">
        <v>15.183879671100001</v>
      </c>
      <c r="D21" s="2">
        <v>11.823549254400001</v>
      </c>
      <c r="E21" s="2">
        <v>0</v>
      </c>
      <c r="F21" s="2">
        <v>1.0561923078</v>
      </c>
      <c r="G21" s="2">
        <v>1.7938974354500001</v>
      </c>
      <c r="H21" s="2">
        <v>0</v>
      </c>
      <c r="I21" s="2">
        <v>164.33783333139999</v>
      </c>
      <c r="J21" s="2">
        <v>20.596286101650001</v>
      </c>
      <c r="K21" s="2">
        <v>2.4582172720749997</v>
      </c>
      <c r="L21" s="2">
        <v>7.5691666666749997</v>
      </c>
      <c r="M21" s="2">
        <v>7.2</v>
      </c>
      <c r="N21" s="2">
        <v>12.983112012075001</v>
      </c>
      <c r="O21" s="2">
        <v>0</v>
      </c>
      <c r="P21" s="2">
        <v>14.721828611699999</v>
      </c>
      <c r="Q21" s="2">
        <v>1.5862537104499999</v>
      </c>
      <c r="R21" s="2">
        <v>85.407962213700003</v>
      </c>
      <c r="S21" s="2">
        <v>6.0166666649999999E-2</v>
      </c>
      <c r="T21" s="2">
        <v>1.5E-3</v>
      </c>
      <c r="U21" s="2">
        <v>3.283333335E-2</v>
      </c>
      <c r="V21" s="2">
        <v>39.069166666649998</v>
      </c>
      <c r="W21" s="2">
        <v>12.2735</v>
      </c>
    </row>
    <row r="22" spans="1:23">
      <c r="A22" t="s">
        <v>67</v>
      </c>
      <c r="B22" s="2">
        <v>65.400000000000006</v>
      </c>
      <c r="C22" s="2">
        <v>15.184069654575001</v>
      </c>
      <c r="D22" s="2">
        <v>10.301171995599999</v>
      </c>
      <c r="E22" s="2">
        <v>0</v>
      </c>
      <c r="F22" s="2">
        <v>1.2767637357999999</v>
      </c>
      <c r="G22" s="2">
        <v>2.6327545774500001</v>
      </c>
      <c r="H22" s="2">
        <v>0</v>
      </c>
      <c r="I22" s="2">
        <v>158.329500001675</v>
      </c>
      <c r="J22" s="2">
        <v>17.970628207674999</v>
      </c>
      <c r="K22" s="2">
        <v>1.4562435880750002</v>
      </c>
      <c r="L22" s="2">
        <v>7.4525000000000006</v>
      </c>
      <c r="M22" s="2">
        <v>7.2</v>
      </c>
      <c r="N22" s="2">
        <v>10.732410255549999</v>
      </c>
      <c r="O22" s="2">
        <v>0</v>
      </c>
      <c r="P22" s="2">
        <v>19.712179485575</v>
      </c>
      <c r="Q22" s="2">
        <v>2.5168589732499997</v>
      </c>
      <c r="R22" s="2">
        <v>43.217435894099992</v>
      </c>
      <c r="S22" s="2">
        <v>8.0166668650000009E-2</v>
      </c>
      <c r="T22" s="2">
        <v>0.36149999999999999</v>
      </c>
      <c r="U22" s="2">
        <v>18.032833333350002</v>
      </c>
      <c r="V22" s="2">
        <v>26.069166666649998</v>
      </c>
      <c r="W22" s="2">
        <v>8.1684999999999999</v>
      </c>
    </row>
    <row r="23" spans="1:23">
      <c r="A23" t="s">
        <v>68</v>
      </c>
      <c r="B23" s="2">
        <v>63.725000000000001</v>
      </c>
      <c r="C23" s="2">
        <v>14.713211890900002</v>
      </c>
      <c r="D23" s="2">
        <v>8.7951433319999985</v>
      </c>
      <c r="E23" s="2">
        <v>0</v>
      </c>
      <c r="F23" s="2">
        <v>1.6403351638000001</v>
      </c>
      <c r="G23" s="2">
        <v>3.6306117194500005</v>
      </c>
      <c r="H23" s="2">
        <v>0</v>
      </c>
      <c r="I23" s="2">
        <v>164.33783333139999</v>
      </c>
      <c r="J23" s="2">
        <v>16.374794873349998</v>
      </c>
      <c r="K23" s="2">
        <v>1.6687435900750001</v>
      </c>
      <c r="L23" s="2">
        <v>7.4941666666749995</v>
      </c>
      <c r="M23" s="2">
        <v>7.2</v>
      </c>
      <c r="N23" s="2">
        <v>12.060743589074999</v>
      </c>
      <c r="O23" s="2">
        <v>0</v>
      </c>
      <c r="P23" s="2">
        <v>11.395512818699999</v>
      </c>
      <c r="Q23" s="2">
        <v>1.4158589754499999</v>
      </c>
      <c r="R23" s="2">
        <v>62.047435895699991</v>
      </c>
      <c r="S23" s="2">
        <v>4.5166666650000006E-2</v>
      </c>
      <c r="T23" s="2">
        <v>1.5E-3</v>
      </c>
      <c r="U23" s="2">
        <v>3.283333335E-2</v>
      </c>
      <c r="V23" s="2">
        <v>29.319166666649998</v>
      </c>
      <c r="W23" s="2">
        <v>9.2735000000000003</v>
      </c>
    </row>
    <row r="24" spans="1:23">
      <c r="A24" t="s">
        <v>69</v>
      </c>
      <c r="B24" s="2">
        <v>59.65</v>
      </c>
      <c r="C24" s="2">
        <v>13.118788817</v>
      </c>
      <c r="D24" s="2">
        <v>8.6444290435999989</v>
      </c>
      <c r="E24" s="2">
        <v>0</v>
      </c>
      <c r="F24" s="2">
        <v>1.1040714280999999</v>
      </c>
      <c r="G24" s="2">
        <v>2.36852380825</v>
      </c>
      <c r="H24" s="2">
        <v>0</v>
      </c>
      <c r="I24" s="2">
        <v>157.61561111275</v>
      </c>
      <c r="J24" s="2">
        <v>16.237722224700001</v>
      </c>
      <c r="K24" s="2">
        <v>1.5270555558500001</v>
      </c>
      <c r="L24" s="2">
        <v>7.5775000000000006</v>
      </c>
      <c r="M24" s="2">
        <v>7.4</v>
      </c>
      <c r="N24" s="2">
        <v>10.539333330449999</v>
      </c>
      <c r="O24" s="2">
        <v>0</v>
      </c>
      <c r="P24" s="2">
        <v>19.624999996450004</v>
      </c>
      <c r="Q24" s="2">
        <v>2.3026666635500002</v>
      </c>
      <c r="R24" s="2">
        <v>53.316666665299998</v>
      </c>
      <c r="S24" s="2">
        <v>2.5166666650000002E-2</v>
      </c>
      <c r="T24" s="2">
        <v>1.5E-3</v>
      </c>
      <c r="U24" s="2">
        <v>3.283333335E-2</v>
      </c>
      <c r="V24" s="2">
        <v>16.319166666649998</v>
      </c>
      <c r="W24" s="2">
        <v>5.2735000000000003</v>
      </c>
    </row>
    <row r="25" spans="1:23">
      <c r="A25" t="s">
        <v>70</v>
      </c>
      <c r="B25" s="2">
        <v>62.798999999999999</v>
      </c>
      <c r="C25" s="2">
        <v>15.431287602781001</v>
      </c>
      <c r="D25" s="2">
        <v>10.281556611999999</v>
      </c>
      <c r="E25" s="2">
        <v>0</v>
      </c>
      <c r="F25" s="2">
        <v>0.97041758184799998</v>
      </c>
      <c r="G25" s="2">
        <v>2.1674725266080004</v>
      </c>
      <c r="H25" s="2">
        <v>0</v>
      </c>
      <c r="I25" s="2">
        <v>142.223076924075</v>
      </c>
      <c r="J25" s="2">
        <v>17.392564106564997</v>
      </c>
      <c r="K25" s="2">
        <v>0.77637179089399999</v>
      </c>
      <c r="L25" s="2">
        <v>7.3791666656749992</v>
      </c>
      <c r="M25" s="2">
        <v>7.2</v>
      </c>
      <c r="N25" s="2">
        <v>9.016564100869001</v>
      </c>
      <c r="O25" s="2">
        <v>0</v>
      </c>
      <c r="P25" s="2">
        <v>14.058717948237003</v>
      </c>
      <c r="Q25" s="2">
        <v>1.8710384598480001</v>
      </c>
      <c r="R25" s="2">
        <v>20.816307688392001</v>
      </c>
      <c r="S25" s="2">
        <v>8.0000004E-2</v>
      </c>
      <c r="T25" s="2">
        <v>0.72</v>
      </c>
      <c r="U25" s="2">
        <v>36</v>
      </c>
      <c r="V25" s="2">
        <v>0</v>
      </c>
      <c r="W25" s="2">
        <v>0.10500000000000001</v>
      </c>
    </row>
    <row r="26" spans="1:23">
      <c r="A26" t="s">
        <v>71</v>
      </c>
      <c r="B26" s="2">
        <v>54.85</v>
      </c>
      <c r="C26" s="2">
        <v>19.283455482000001</v>
      </c>
      <c r="D26" s="2">
        <v>9.4533576155999999</v>
      </c>
      <c r="E26" s="2">
        <v>0</v>
      </c>
      <c r="F26" s="2">
        <v>1.7357142840000002</v>
      </c>
      <c r="G26" s="2">
        <v>4.2785714260000001</v>
      </c>
      <c r="H26" s="2">
        <v>0</v>
      </c>
      <c r="I26" s="2">
        <v>338.54166666834999</v>
      </c>
      <c r="J26" s="2">
        <v>12.283333335349999</v>
      </c>
      <c r="K26" s="2">
        <v>1.0583333313500001</v>
      </c>
      <c r="L26" s="2">
        <v>5.0624999979999998</v>
      </c>
      <c r="M26" s="2">
        <v>4.8</v>
      </c>
      <c r="N26" s="2">
        <v>10.7999999968</v>
      </c>
      <c r="O26" s="2">
        <v>0</v>
      </c>
      <c r="P26" s="2">
        <v>24.599999999200001</v>
      </c>
      <c r="Q26" s="2">
        <v>2.2599999968</v>
      </c>
      <c r="R26" s="2">
        <v>44.019999998399996</v>
      </c>
      <c r="S26" s="2">
        <v>4.0000002E-2</v>
      </c>
      <c r="T26" s="2">
        <v>0.36</v>
      </c>
      <c r="U26" s="2">
        <v>18</v>
      </c>
      <c r="V26" s="2">
        <v>0</v>
      </c>
      <c r="W26" s="2">
        <v>0</v>
      </c>
    </row>
    <row r="27" spans="1:23">
      <c r="A27" t="s">
        <v>72</v>
      </c>
      <c r="B27" s="2">
        <v>87.95</v>
      </c>
      <c r="C27" s="2">
        <v>22.733479914</v>
      </c>
      <c r="D27" s="2">
        <v>10.886886281600001</v>
      </c>
      <c r="E27" s="2">
        <v>0</v>
      </c>
      <c r="F27" s="2">
        <v>1.3971428559999999</v>
      </c>
      <c r="G27" s="2">
        <v>3.3057142840000004</v>
      </c>
      <c r="H27" s="2">
        <v>0</v>
      </c>
      <c r="I27" s="2">
        <v>440.54166666834999</v>
      </c>
      <c r="J27" s="2">
        <v>21.371666669349999</v>
      </c>
      <c r="K27" s="2">
        <v>4.2583333333500004</v>
      </c>
      <c r="L27" s="2">
        <v>8.7166666639999999</v>
      </c>
      <c r="M27" s="2">
        <v>7.2</v>
      </c>
      <c r="N27" s="2">
        <v>21.333333326799998</v>
      </c>
      <c r="O27" s="2">
        <v>0</v>
      </c>
      <c r="P27" s="2">
        <v>54.466666663200002</v>
      </c>
      <c r="Q27" s="2">
        <v>2.7253333268</v>
      </c>
      <c r="R27" s="2">
        <v>312.53333333440003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</row>
    <row r="28" spans="1:23">
      <c r="A28" t="s">
        <v>73</v>
      </c>
      <c r="B28" s="2">
        <v>60.091666666800009</v>
      </c>
      <c r="C28" s="2">
        <v>17.283455482000001</v>
      </c>
      <c r="D28" s="2">
        <v>9.1676433296000006</v>
      </c>
      <c r="E28" s="2">
        <v>0</v>
      </c>
      <c r="F28" s="2">
        <v>1.307142856</v>
      </c>
      <c r="G28" s="2">
        <v>3.1357142840000001</v>
      </c>
      <c r="H28" s="2">
        <v>0</v>
      </c>
      <c r="I28" s="2">
        <v>373.81944447810002</v>
      </c>
      <c r="J28" s="2">
        <v>12.97888889102</v>
      </c>
      <c r="K28" s="2">
        <v>2.1388888868999998</v>
      </c>
      <c r="L28" s="2">
        <v>5.0666666646999996</v>
      </c>
      <c r="M28" s="2">
        <v>4.8</v>
      </c>
      <c r="N28" s="2">
        <v>10.7999999968</v>
      </c>
      <c r="O28" s="2">
        <v>0</v>
      </c>
      <c r="P28" s="2">
        <v>24.899999999199999</v>
      </c>
      <c r="Q28" s="2">
        <v>2.2599999968</v>
      </c>
      <c r="R28" s="2">
        <v>47.519999998399996</v>
      </c>
      <c r="S28" s="2">
        <v>4.0000002E-2</v>
      </c>
      <c r="T28" s="2">
        <v>0.36</v>
      </c>
      <c r="U28" s="2">
        <v>18</v>
      </c>
      <c r="V28" s="2">
        <v>0</v>
      </c>
      <c r="W28" s="2">
        <v>0</v>
      </c>
    </row>
    <row r="29" spans="1:23">
      <c r="A29" t="s">
        <v>74</v>
      </c>
      <c r="B29" s="2">
        <v>64.625</v>
      </c>
      <c r="C29" s="2">
        <v>14.2770696566</v>
      </c>
      <c r="D29" s="2">
        <v>9.9154577096000001</v>
      </c>
      <c r="E29" s="2">
        <v>0</v>
      </c>
      <c r="F29" s="2">
        <v>0.64769230779999998</v>
      </c>
      <c r="G29" s="2">
        <v>1.2892307688</v>
      </c>
      <c r="H29" s="2">
        <v>0</v>
      </c>
      <c r="I29" s="2">
        <v>280.41666666834999</v>
      </c>
      <c r="J29" s="2">
        <v>14.776794876349999</v>
      </c>
      <c r="K29" s="2">
        <v>3.7814102547499999</v>
      </c>
      <c r="L29" s="2">
        <v>2.4500000000000002</v>
      </c>
      <c r="M29" s="2">
        <v>1.6</v>
      </c>
      <c r="N29" s="2">
        <v>16.923076920199996</v>
      </c>
      <c r="O29" s="2">
        <v>0</v>
      </c>
      <c r="P29" s="2">
        <v>31.553846150399998</v>
      </c>
      <c r="Q29" s="2">
        <v>2.6556923045999996</v>
      </c>
      <c r="R29" s="2">
        <v>187.25076922759999</v>
      </c>
      <c r="S29" s="2">
        <v>4.0000002E-2</v>
      </c>
      <c r="T29" s="2">
        <v>0.36</v>
      </c>
      <c r="U29" s="2">
        <v>18</v>
      </c>
      <c r="V29" s="2">
        <v>0</v>
      </c>
      <c r="W29" s="2">
        <v>0</v>
      </c>
    </row>
    <row r="30" spans="1:23">
      <c r="A30" t="s">
        <v>75</v>
      </c>
      <c r="B30" s="2">
        <v>81.560069444800007</v>
      </c>
      <c r="C30" s="2">
        <v>16.758521439200003</v>
      </c>
      <c r="D30" s="2">
        <v>12.468170730400001</v>
      </c>
      <c r="E30" s="2">
        <v>0</v>
      </c>
      <c r="F30" s="2">
        <v>0.69299999999999995</v>
      </c>
      <c r="G30" s="2">
        <v>1.3090000000000002</v>
      </c>
      <c r="H30" s="2">
        <v>0</v>
      </c>
      <c r="I30" s="2">
        <v>198.758333472</v>
      </c>
      <c r="J30" s="2">
        <v>43.448923619519995</v>
      </c>
      <c r="K30" s="2">
        <v>2.9399999919999997</v>
      </c>
      <c r="L30" s="2">
        <v>21.066666666700002</v>
      </c>
      <c r="M30" s="2">
        <v>20</v>
      </c>
      <c r="N30" s="2">
        <v>10.4</v>
      </c>
      <c r="O30" s="2">
        <v>0</v>
      </c>
      <c r="P30" s="2">
        <v>20.419999999999998</v>
      </c>
      <c r="Q30" s="2">
        <v>1.56</v>
      </c>
      <c r="R30" s="2">
        <v>190.17999999199998</v>
      </c>
      <c r="S30" s="2">
        <v>0.160000008</v>
      </c>
      <c r="T30" s="2">
        <v>1.44</v>
      </c>
      <c r="U30" s="2">
        <v>72</v>
      </c>
      <c r="V30" s="2">
        <v>0</v>
      </c>
      <c r="W30" s="2">
        <v>0</v>
      </c>
    </row>
    <row r="31" spans="1:23">
      <c r="A31" t="s">
        <v>76</v>
      </c>
      <c r="B31" s="2">
        <v>81.335069444799998</v>
      </c>
      <c r="C31" s="2">
        <v>15.283455481999999</v>
      </c>
      <c r="D31" s="2">
        <v>8.7247861865999994</v>
      </c>
      <c r="E31" s="2">
        <v>0</v>
      </c>
      <c r="F31" s="2">
        <v>1.0928571420000002</v>
      </c>
      <c r="G31" s="2">
        <v>2.5642857129999999</v>
      </c>
      <c r="H31" s="2">
        <v>0</v>
      </c>
      <c r="I31" s="2">
        <v>258.12500014034998</v>
      </c>
      <c r="J31" s="2">
        <v>29.927256948870003</v>
      </c>
      <c r="K31" s="2">
        <v>2.65833332935</v>
      </c>
      <c r="L31" s="2">
        <v>16.266666666699997</v>
      </c>
      <c r="M31" s="2">
        <v>15.2</v>
      </c>
      <c r="N31" s="2">
        <v>17.9999999988</v>
      </c>
      <c r="O31" s="2">
        <v>0</v>
      </c>
      <c r="P31" s="2">
        <v>32.599999999199994</v>
      </c>
      <c r="Q31" s="2">
        <v>2.7199999988000001</v>
      </c>
      <c r="R31" s="2">
        <v>192.03999999440001</v>
      </c>
      <c r="S31" s="2">
        <v>8.0000004E-2</v>
      </c>
      <c r="T31" s="2">
        <v>0.72</v>
      </c>
      <c r="U31" s="2">
        <v>36</v>
      </c>
      <c r="V31" s="2">
        <v>0</v>
      </c>
      <c r="W31" s="2">
        <v>0</v>
      </c>
    </row>
    <row r="32" spans="1:23">
      <c r="A32" t="s">
        <v>77</v>
      </c>
      <c r="B32" s="2">
        <v>57.591666666800009</v>
      </c>
      <c r="C32" s="2">
        <v>13.416837672</v>
      </c>
      <c r="D32" s="2">
        <v>11.334700664</v>
      </c>
      <c r="E32" s="2">
        <v>0</v>
      </c>
      <c r="F32" s="2">
        <v>0.63</v>
      </c>
      <c r="G32" s="2">
        <v>1.19</v>
      </c>
      <c r="H32" s="2">
        <v>0</v>
      </c>
      <c r="I32" s="2">
        <v>270.375000032</v>
      </c>
      <c r="J32" s="2">
        <v>26.54000000812</v>
      </c>
      <c r="K32" s="2">
        <v>0.89999999200000003</v>
      </c>
      <c r="L32" s="2">
        <v>7.2666666666999999</v>
      </c>
      <c r="M32" s="2">
        <v>7.2</v>
      </c>
      <c r="N32" s="2">
        <v>2.4</v>
      </c>
      <c r="O32" s="2">
        <v>0</v>
      </c>
      <c r="P32" s="2">
        <v>0.3</v>
      </c>
      <c r="Q32" s="2">
        <v>1.2</v>
      </c>
      <c r="R32" s="2">
        <v>1.5799999919999999</v>
      </c>
      <c r="S32" s="2">
        <v>0.160000008</v>
      </c>
      <c r="T32" s="2">
        <v>1.44</v>
      </c>
      <c r="U32" s="2">
        <v>72</v>
      </c>
      <c r="V32" s="2">
        <v>0</v>
      </c>
      <c r="W32" s="2">
        <v>0</v>
      </c>
    </row>
    <row r="33" spans="1:23">
      <c r="A33" t="s">
        <v>78</v>
      </c>
      <c r="B33" s="2">
        <v>55.566666666800003</v>
      </c>
      <c r="C33" s="2">
        <v>13.221917022000003</v>
      </c>
      <c r="D33" s="2">
        <v>8.6786323410000001</v>
      </c>
      <c r="E33" s="2">
        <v>0</v>
      </c>
      <c r="F33" s="2">
        <v>1.0928571420000002</v>
      </c>
      <c r="G33" s="2">
        <v>2.5642857129999999</v>
      </c>
      <c r="H33" s="2">
        <v>0</v>
      </c>
      <c r="I33" s="2">
        <v>333.77243593075002</v>
      </c>
      <c r="J33" s="2">
        <v>17.231666671469998</v>
      </c>
      <c r="K33" s="2">
        <v>1.12499999735</v>
      </c>
      <c r="L33" s="2">
        <v>4.8666666667000005</v>
      </c>
      <c r="M33" s="2">
        <v>4.8</v>
      </c>
      <c r="N33" s="2">
        <v>9.4769230740000001</v>
      </c>
      <c r="O33" s="2">
        <v>0</v>
      </c>
      <c r="P33" s="2">
        <v>11.784615382</v>
      </c>
      <c r="Q33" s="2">
        <v>2.0369230739999997</v>
      </c>
      <c r="R33" s="2">
        <v>25.995897432000003</v>
      </c>
      <c r="S33" s="2">
        <v>5.3333335999999995E-2</v>
      </c>
      <c r="T33" s="2">
        <v>0.48</v>
      </c>
      <c r="U33" s="2">
        <v>24</v>
      </c>
      <c r="V33" s="2">
        <v>0</v>
      </c>
      <c r="W33" s="2">
        <v>0</v>
      </c>
    </row>
    <row r="34" spans="1:23">
      <c r="A34" t="s">
        <v>79</v>
      </c>
      <c r="B34" s="2">
        <v>64.966666666799995</v>
      </c>
      <c r="C34" s="2">
        <v>15.372727272000001</v>
      </c>
      <c r="D34" s="2">
        <v>3.709090905</v>
      </c>
      <c r="E34" s="2">
        <v>0</v>
      </c>
      <c r="F34" s="2">
        <v>4.0909090949999998</v>
      </c>
      <c r="G34" s="2">
        <v>4.0909090949999998</v>
      </c>
      <c r="H34" s="2">
        <v>0</v>
      </c>
      <c r="I34" s="2">
        <v>348.61363639700005</v>
      </c>
      <c r="J34" s="2">
        <v>27.740000008119999</v>
      </c>
      <c r="K34" s="2">
        <v>2.8999999940000003</v>
      </c>
      <c r="L34" s="2">
        <v>7.4666666647</v>
      </c>
      <c r="M34" s="2">
        <v>7.2</v>
      </c>
      <c r="N34" s="2">
        <v>3.9999999959999997</v>
      </c>
      <c r="O34" s="2">
        <v>0</v>
      </c>
      <c r="P34" s="2">
        <v>13.699999998000001</v>
      </c>
      <c r="Q34" s="2">
        <v>1.2999999959999999</v>
      </c>
      <c r="R34" s="2">
        <v>65.759999996000005</v>
      </c>
      <c r="S34" s="2">
        <v>0.12000000600000001</v>
      </c>
      <c r="T34" s="2">
        <v>1.0799999999999998</v>
      </c>
      <c r="U34" s="2">
        <v>54</v>
      </c>
      <c r="V34" s="2">
        <v>0</v>
      </c>
      <c r="W34" s="2">
        <v>0</v>
      </c>
    </row>
    <row r="35" spans="1:23">
      <c r="A35" t="s">
        <v>80</v>
      </c>
      <c r="B35" s="2">
        <v>43.576666666799994</v>
      </c>
      <c r="C35" s="2">
        <v>19.8103785576</v>
      </c>
      <c r="D35" s="2">
        <v>9.3605004737999984</v>
      </c>
      <c r="E35" s="2">
        <v>0</v>
      </c>
      <c r="F35" s="2">
        <v>1.6291208777999997</v>
      </c>
      <c r="G35" s="2">
        <v>3.9763736237999998</v>
      </c>
      <c r="H35" s="2">
        <v>0</v>
      </c>
      <c r="I35" s="2">
        <v>200.69444447730001</v>
      </c>
      <c r="J35" s="2">
        <v>5.0173504280200003</v>
      </c>
      <c r="K35" s="2">
        <v>2.2619658123000002</v>
      </c>
      <c r="L35" s="2">
        <v>2.7666666636999997</v>
      </c>
      <c r="M35" s="2">
        <v>2.4</v>
      </c>
      <c r="N35" s="2">
        <v>9.2230769197999987</v>
      </c>
      <c r="O35" s="2">
        <v>0</v>
      </c>
      <c r="P35" s="2">
        <v>27.353846152799996</v>
      </c>
      <c r="Q35" s="2">
        <v>1.4676923042000001</v>
      </c>
      <c r="R35" s="2">
        <v>74.130769233400002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</row>
    <row r="36" spans="1:23">
      <c r="A36" t="s">
        <v>81</v>
      </c>
      <c r="B36" s="2">
        <v>48.541666666799998</v>
      </c>
      <c r="C36" s="2">
        <v>14.701467714100001</v>
      </c>
      <c r="D36" s="2">
        <v>12.3062464352</v>
      </c>
      <c r="E36" s="2">
        <v>0</v>
      </c>
      <c r="F36" s="2">
        <v>0.72246153849999994</v>
      </c>
      <c r="G36" s="2">
        <v>1.3881538460000002</v>
      </c>
      <c r="H36" s="2">
        <v>0</v>
      </c>
      <c r="I36" s="2">
        <v>122.125000032</v>
      </c>
      <c r="J36" s="2">
        <v>26.432307700620004</v>
      </c>
      <c r="K36" s="2">
        <v>0.91538460749999984</v>
      </c>
      <c r="L36" s="2">
        <v>7.6666666667000003</v>
      </c>
      <c r="M36" s="2">
        <v>7.6</v>
      </c>
      <c r="N36" s="2">
        <v>2.5153846154999999</v>
      </c>
      <c r="O36" s="2">
        <v>0</v>
      </c>
      <c r="P36" s="2">
        <v>0.76923076899999998</v>
      </c>
      <c r="Q36" s="2">
        <v>1.2384615385</v>
      </c>
      <c r="R36" s="2">
        <v>4.2338461459999994</v>
      </c>
      <c r="S36" s="2">
        <v>0.160000008</v>
      </c>
      <c r="T36" s="2">
        <v>1.44</v>
      </c>
      <c r="U36" s="2">
        <v>72</v>
      </c>
      <c r="V36" s="2">
        <v>0</v>
      </c>
      <c r="W36" s="2">
        <v>0</v>
      </c>
    </row>
    <row r="37" spans="1:23">
      <c r="A37" t="s">
        <v>82</v>
      </c>
      <c r="B37" s="2">
        <v>72.591666666800009</v>
      </c>
      <c r="C37" s="2">
        <v>34.077304178200009</v>
      </c>
      <c r="D37" s="2">
        <v>25.760190048800002</v>
      </c>
      <c r="E37" s="2">
        <v>0</v>
      </c>
      <c r="F37" s="2">
        <v>1.5116923078</v>
      </c>
      <c r="G37" s="2">
        <v>2.9212307688000001</v>
      </c>
      <c r="H37" s="2">
        <v>0</v>
      </c>
      <c r="I37" s="2">
        <v>161.56944447810002</v>
      </c>
      <c r="J37" s="2">
        <v>9.0173504300199987</v>
      </c>
      <c r="K37" s="2">
        <v>2.9619658122999999</v>
      </c>
      <c r="L37" s="2">
        <v>2.6666666647000001</v>
      </c>
      <c r="M37" s="2">
        <v>2.4</v>
      </c>
      <c r="N37" s="2">
        <v>11.323076918199998</v>
      </c>
      <c r="O37" s="2">
        <v>0</v>
      </c>
      <c r="P37" s="2">
        <v>27.553846150399998</v>
      </c>
      <c r="Q37" s="2">
        <v>2.2676923025999995</v>
      </c>
      <c r="R37" s="2">
        <v>77.630769231599999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</row>
    <row r="38" spans="1:23">
      <c r="A38" t="s">
        <v>83</v>
      </c>
      <c r="B38" s="2">
        <v>0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</row>
    <row r="39" spans="1:23">
      <c r="A39" t="s">
        <v>84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>
        <v>0</v>
      </c>
      <c r="U39" s="2">
        <v>0</v>
      </c>
      <c r="V39" s="2">
        <v>0</v>
      </c>
      <c r="W39" s="2">
        <v>0</v>
      </c>
    </row>
    <row r="40" spans="1:23">
      <c r="A40" t="s">
        <v>85</v>
      </c>
      <c r="B40" s="2">
        <v>77.849999999999994</v>
      </c>
      <c r="C40" s="2">
        <v>15.824500003974999</v>
      </c>
      <c r="D40" s="2">
        <v>9.2292857189999999</v>
      </c>
      <c r="E40" s="2">
        <v>0</v>
      </c>
      <c r="F40" s="2">
        <v>1.9290714229999999</v>
      </c>
      <c r="G40" s="2">
        <v>3.4292380926500003</v>
      </c>
      <c r="H40" s="2">
        <v>0</v>
      </c>
      <c r="I40" s="2">
        <v>240.53783333332504</v>
      </c>
      <c r="J40" s="2">
        <v>37.044666674974998</v>
      </c>
      <c r="K40" s="2">
        <v>5.3073333290000004</v>
      </c>
      <c r="L40" s="2">
        <v>12.444166666674999</v>
      </c>
      <c r="M40" s="2">
        <v>12.4</v>
      </c>
      <c r="N40" s="2">
        <v>4.1076666626749994</v>
      </c>
      <c r="O40" s="2">
        <v>0</v>
      </c>
      <c r="P40" s="2">
        <v>16.874999995825</v>
      </c>
      <c r="Q40" s="2">
        <v>3.25466666265</v>
      </c>
      <c r="R40" s="2">
        <v>388.40999999550002</v>
      </c>
      <c r="S40" s="2">
        <v>8.6833337650000009E-2</v>
      </c>
      <c r="T40" s="2">
        <v>0.78149999999999997</v>
      </c>
      <c r="U40" s="2">
        <v>39.032833333349998</v>
      </c>
      <c r="V40" s="2">
        <v>6.916666665E-2</v>
      </c>
      <c r="W40" s="2">
        <v>0.16850000000000001</v>
      </c>
    </row>
    <row r="41" spans="1:23">
      <c r="A41" t="s">
        <v>86</v>
      </c>
      <c r="B41" s="2">
        <v>62.85</v>
      </c>
      <c r="C41" s="2">
        <v>17.816807695775001</v>
      </c>
      <c r="D41" s="2">
        <v>7.8721428586000002</v>
      </c>
      <c r="E41" s="2">
        <v>0</v>
      </c>
      <c r="F41" s="2">
        <v>1.9554450503999998</v>
      </c>
      <c r="G41" s="2">
        <v>3.8523150150500003</v>
      </c>
      <c r="H41" s="2">
        <v>0</v>
      </c>
      <c r="I41" s="2">
        <v>215.98227777942503</v>
      </c>
      <c r="J41" s="2">
        <v>14.246376071225001</v>
      </c>
      <c r="K41" s="2">
        <v>5.4205811970999997</v>
      </c>
      <c r="L41" s="2">
        <v>5.0441666646750001</v>
      </c>
      <c r="M41" s="2">
        <v>4.8</v>
      </c>
      <c r="N41" s="2">
        <v>12.315358969675</v>
      </c>
      <c r="O41" s="2">
        <v>0</v>
      </c>
      <c r="P41" s="2">
        <v>38.259615380624993</v>
      </c>
      <c r="Q41" s="2">
        <v>3.8138974308500004</v>
      </c>
      <c r="R41" s="2">
        <v>311.64358974449999</v>
      </c>
      <c r="S41" s="2">
        <v>1.6666665E-4</v>
      </c>
      <c r="T41" s="2">
        <v>1.5E-3</v>
      </c>
      <c r="U41" s="2">
        <v>3.283333335E-2</v>
      </c>
      <c r="V41" s="2">
        <v>6.916666665E-2</v>
      </c>
      <c r="W41" s="2">
        <v>0.16850000000000001</v>
      </c>
    </row>
    <row r="42" spans="1:23">
      <c r="A42" t="s">
        <v>87</v>
      </c>
      <c r="B42" s="2">
        <v>59.65</v>
      </c>
      <c r="C42" s="2">
        <v>12.701569656575</v>
      </c>
      <c r="D42" s="2">
        <v>9.7304577119999998</v>
      </c>
      <c r="E42" s="2">
        <v>0</v>
      </c>
      <c r="F42" s="2">
        <v>0.64819230779999992</v>
      </c>
      <c r="G42" s="2">
        <v>1.2898974354500001</v>
      </c>
      <c r="H42" s="2">
        <v>0</v>
      </c>
      <c r="I42" s="2">
        <v>176.53783333332501</v>
      </c>
      <c r="J42" s="2">
        <v>33.383128213974999</v>
      </c>
      <c r="K42" s="2">
        <v>4.4304102523999997</v>
      </c>
      <c r="L42" s="2">
        <v>9.6441666666749999</v>
      </c>
      <c r="M42" s="2">
        <v>9.6</v>
      </c>
      <c r="N42" s="2">
        <v>4.4307435860749997</v>
      </c>
      <c r="O42" s="2">
        <v>0</v>
      </c>
      <c r="P42" s="2">
        <v>18.428846149025002</v>
      </c>
      <c r="Q42" s="2">
        <v>3.3623589704499999</v>
      </c>
      <c r="R42" s="2">
        <v>395.04076922670004</v>
      </c>
      <c r="S42" s="2">
        <v>8.6833337650000009E-2</v>
      </c>
      <c r="T42" s="2">
        <v>0.78149999999999997</v>
      </c>
      <c r="U42" s="2">
        <v>39.032833333349998</v>
      </c>
      <c r="V42" s="2">
        <v>6.916666665E-2</v>
      </c>
      <c r="W42" s="2">
        <v>0.16850000000000001</v>
      </c>
    </row>
    <row r="43" spans="1:23">
      <c r="A43" t="s">
        <v>88</v>
      </c>
      <c r="B43" s="2">
        <v>67.650000000000006</v>
      </c>
      <c r="C43" s="2">
        <v>13.541917629775</v>
      </c>
      <c r="D43" s="2">
        <v>7.9301647106000006</v>
      </c>
      <c r="E43" s="2">
        <v>0</v>
      </c>
      <c r="F43" s="2">
        <v>1.2175879114000001</v>
      </c>
      <c r="G43" s="2">
        <v>2.9030293020499998</v>
      </c>
      <c r="H43" s="2">
        <v>0</v>
      </c>
      <c r="I43" s="2">
        <v>215.98227777942503</v>
      </c>
      <c r="J43" s="2">
        <v>16.646376073225003</v>
      </c>
      <c r="K43" s="2">
        <v>5.4205811970999997</v>
      </c>
      <c r="L43" s="2">
        <v>3.8441666666750001</v>
      </c>
      <c r="M43" s="2">
        <v>3.8</v>
      </c>
      <c r="N43" s="2">
        <v>11.715358969674998</v>
      </c>
      <c r="O43" s="2">
        <v>0</v>
      </c>
      <c r="P43" s="2">
        <v>27.659615378624999</v>
      </c>
      <c r="Q43" s="2">
        <v>3.8138974308500004</v>
      </c>
      <c r="R43" s="2">
        <v>293.8435897425</v>
      </c>
      <c r="S43" s="2">
        <v>1.6666665E-4</v>
      </c>
      <c r="T43" s="2">
        <v>1.5E-3</v>
      </c>
      <c r="U43" s="2">
        <v>3.283333335E-2</v>
      </c>
      <c r="V43" s="2">
        <v>6.916666665E-2</v>
      </c>
      <c r="W43" s="2">
        <v>0.16850000000000001</v>
      </c>
    </row>
    <row r="44" spans="1:23">
      <c r="A44" t="s">
        <v>89</v>
      </c>
      <c r="B44" s="2">
        <v>64.55</v>
      </c>
      <c r="C44" s="2">
        <v>14.651423079575</v>
      </c>
      <c r="D44" s="2">
        <v>8.9507142900000005</v>
      </c>
      <c r="E44" s="2">
        <v>0</v>
      </c>
      <c r="F44" s="2">
        <v>1.3939065888</v>
      </c>
      <c r="G44" s="2">
        <v>1.9841831484499999</v>
      </c>
      <c r="H44" s="2">
        <v>0</v>
      </c>
      <c r="I44" s="2">
        <v>176.53783333332501</v>
      </c>
      <c r="J44" s="2">
        <v>31.116461545975</v>
      </c>
      <c r="K44" s="2">
        <v>4.3970769193999999</v>
      </c>
      <c r="L44" s="2">
        <v>9.9441666656750005</v>
      </c>
      <c r="M44" s="2">
        <v>9.8000000000000007</v>
      </c>
      <c r="N44" s="2">
        <v>4.6307435860749999</v>
      </c>
      <c r="O44" s="2">
        <v>0</v>
      </c>
      <c r="P44" s="2">
        <v>23.728846150025003</v>
      </c>
      <c r="Q44" s="2">
        <v>3.3123589704500001</v>
      </c>
      <c r="R44" s="2">
        <v>403.9374358947</v>
      </c>
      <c r="S44" s="2">
        <v>8.0166670650000008E-2</v>
      </c>
      <c r="T44" s="2">
        <v>0.72149999999999992</v>
      </c>
      <c r="U44" s="2">
        <v>36.032833333349998</v>
      </c>
      <c r="V44" s="2">
        <v>6.916666665E-2</v>
      </c>
      <c r="W44" s="2">
        <v>0.16850000000000001</v>
      </c>
    </row>
    <row r="45" spans="1:23">
      <c r="A45" t="s">
        <v>90</v>
      </c>
      <c r="B45" s="2">
        <v>69.150000000000006</v>
      </c>
      <c r="C45" s="2">
        <v>15.316807695775001</v>
      </c>
      <c r="D45" s="2">
        <v>6.0501648354000004</v>
      </c>
      <c r="E45" s="2">
        <v>0</v>
      </c>
      <c r="F45" s="2">
        <v>1.8999505447999998</v>
      </c>
      <c r="G45" s="2">
        <v>4.508358971849999</v>
      </c>
      <c r="H45" s="2">
        <v>0</v>
      </c>
      <c r="I45" s="2">
        <v>235.048944445225</v>
      </c>
      <c r="J45" s="2">
        <v>13.646376071225001</v>
      </c>
      <c r="K45" s="2">
        <v>5.4590427358999998</v>
      </c>
      <c r="L45" s="2">
        <v>4.9441666656750005</v>
      </c>
      <c r="M45" s="2">
        <v>4.8</v>
      </c>
      <c r="N45" s="2">
        <v>13.955358970675002</v>
      </c>
      <c r="O45" s="2">
        <v>0</v>
      </c>
      <c r="P45" s="2">
        <v>40.044230766424995</v>
      </c>
      <c r="Q45" s="2">
        <v>3.9132307660500003</v>
      </c>
      <c r="R45" s="2">
        <v>292.2871794847</v>
      </c>
      <c r="S45" s="2">
        <v>1.6666665E-4</v>
      </c>
      <c r="T45" s="2">
        <v>1.5E-3</v>
      </c>
      <c r="U45" s="2">
        <v>3.283333335E-2</v>
      </c>
      <c r="V45" s="2">
        <v>6.916666665E-2</v>
      </c>
      <c r="W45" s="2">
        <v>0.16850000000000001</v>
      </c>
    </row>
    <row r="46" spans="1:23">
      <c r="A46" t="s">
        <v>91</v>
      </c>
      <c r="B46" s="2">
        <v>0</v>
      </c>
      <c r="C46" s="2">
        <v>0</v>
      </c>
      <c r="D46" s="2">
        <v>0</v>
      </c>
      <c r="E46" s="2">
        <v>0</v>
      </c>
      <c r="F46" s="2">
        <v>0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</row>
    <row r="47" spans="1:23">
      <c r="A47" t="s">
        <v>92</v>
      </c>
      <c r="B47" s="2">
        <v>64.474999999999994</v>
      </c>
      <c r="C47" s="2">
        <v>16.395974360450001</v>
      </c>
      <c r="D47" s="2">
        <v>4.2571428567999998</v>
      </c>
      <c r="E47" s="2">
        <v>0</v>
      </c>
      <c r="F47" s="2">
        <v>3.3840164794000005</v>
      </c>
      <c r="G47" s="2">
        <v>4.7094578730500007</v>
      </c>
      <c r="H47" s="2">
        <v>0</v>
      </c>
      <c r="I47" s="2">
        <v>217.0989444443</v>
      </c>
      <c r="J47" s="2">
        <v>9.6338760701999995</v>
      </c>
      <c r="K47" s="2">
        <v>5.1080811971000006</v>
      </c>
      <c r="L47" s="2">
        <v>2.6274999980000002</v>
      </c>
      <c r="M47" s="2">
        <v>2.4</v>
      </c>
      <c r="N47" s="2">
        <v>12.61202563795</v>
      </c>
      <c r="O47" s="2">
        <v>0</v>
      </c>
      <c r="P47" s="2">
        <v>32.676282048699996</v>
      </c>
      <c r="Q47" s="2">
        <v>3.2423974334500003</v>
      </c>
      <c r="R47" s="2">
        <v>302.54358974429999</v>
      </c>
      <c r="S47" s="2">
        <v>1.6666665E-4</v>
      </c>
      <c r="T47" s="2">
        <v>1.5E-3</v>
      </c>
      <c r="U47" s="2">
        <v>3.283333335E-2</v>
      </c>
      <c r="V47" s="2">
        <v>6.916666665E-2</v>
      </c>
      <c r="W47" s="2">
        <v>6.3500000000000001E-2</v>
      </c>
    </row>
    <row r="48" spans="1:23">
      <c r="A48" t="s">
        <v>93</v>
      </c>
      <c r="B48" s="2">
        <v>73.7</v>
      </c>
      <c r="C48" s="2">
        <v>13.821756414225002</v>
      </c>
      <c r="D48" s="2">
        <v>8.8864285758000001</v>
      </c>
      <c r="E48" s="2">
        <v>0</v>
      </c>
      <c r="F48" s="2">
        <v>1.5229780172</v>
      </c>
      <c r="G48" s="2">
        <v>2.3277069576999998</v>
      </c>
      <c r="H48" s="2">
        <v>0</v>
      </c>
      <c r="I48" s="2">
        <v>222.692333333325</v>
      </c>
      <c r="J48" s="2">
        <v>36.770294880975001</v>
      </c>
      <c r="K48" s="2">
        <v>6.5919102523999999</v>
      </c>
      <c r="L48" s="2">
        <v>12.046666666675</v>
      </c>
      <c r="M48" s="2">
        <v>12</v>
      </c>
      <c r="N48" s="2">
        <v>4.5684102524250001</v>
      </c>
      <c r="O48" s="2">
        <v>0</v>
      </c>
      <c r="P48" s="2">
        <v>20.053846148524997</v>
      </c>
      <c r="Q48" s="2">
        <v>3.4388589700999992</v>
      </c>
      <c r="R48" s="2">
        <v>403.30743589320002</v>
      </c>
      <c r="S48" s="2">
        <v>8.7000004300000017E-2</v>
      </c>
      <c r="T48" s="2">
        <v>0.78300000000000003</v>
      </c>
      <c r="U48" s="2">
        <v>39.065666666700004</v>
      </c>
      <c r="V48" s="2">
        <v>0.1383333333</v>
      </c>
      <c r="W48" s="2">
        <v>0.23200000000000004</v>
      </c>
    </row>
    <row r="49" spans="1:23">
      <c r="A49" t="s">
        <v>94</v>
      </c>
      <c r="B49" s="2">
        <v>70.275000000000006</v>
      </c>
      <c r="C49" s="2">
        <v>14.116807697774998</v>
      </c>
      <c r="D49" s="2">
        <v>6.6435714295999997</v>
      </c>
      <c r="E49" s="2">
        <v>0</v>
      </c>
      <c r="F49" s="2">
        <v>1.8840164794000001</v>
      </c>
      <c r="G49" s="2">
        <v>3.8523150150500003</v>
      </c>
      <c r="H49" s="2">
        <v>0</v>
      </c>
      <c r="I49" s="2">
        <v>294.10727777742505</v>
      </c>
      <c r="J49" s="2">
        <v>20.260542739875</v>
      </c>
      <c r="K49" s="2">
        <v>6.2205811971000005</v>
      </c>
      <c r="L49" s="2">
        <v>6.0441666666750002</v>
      </c>
      <c r="M49" s="2">
        <v>6</v>
      </c>
      <c r="N49" s="2">
        <v>12.715358969674998</v>
      </c>
      <c r="O49" s="2">
        <v>0</v>
      </c>
      <c r="P49" s="2">
        <v>29.259615378624993</v>
      </c>
      <c r="Q49" s="2">
        <v>4.6338974328500004</v>
      </c>
      <c r="R49" s="2">
        <v>411.64358974050003</v>
      </c>
      <c r="S49" s="2">
        <v>1.6666665E-4</v>
      </c>
      <c r="T49" s="2">
        <v>1.5E-3</v>
      </c>
      <c r="U49" s="2">
        <v>3.283333335E-2</v>
      </c>
      <c r="V49" s="2">
        <v>6.916666665E-2</v>
      </c>
      <c r="W49" s="2">
        <v>0.16850000000000001</v>
      </c>
    </row>
    <row r="50" spans="1:23">
      <c r="A50" t="s">
        <v>95</v>
      </c>
      <c r="B50" s="2">
        <v>75.05</v>
      </c>
      <c r="C50" s="2">
        <v>13.384766213599999</v>
      </c>
      <c r="D50" s="2">
        <v>8.7857142899999996</v>
      </c>
      <c r="E50" s="2">
        <v>0</v>
      </c>
      <c r="F50" s="2">
        <v>1.3934065888</v>
      </c>
      <c r="G50" s="2">
        <v>1.9835164818</v>
      </c>
      <c r="H50" s="2">
        <v>0</v>
      </c>
      <c r="I50" s="2">
        <v>210.625</v>
      </c>
      <c r="J50" s="2">
        <v>36.552138009300009</v>
      </c>
      <c r="K50" s="2">
        <v>7.4054298684000006</v>
      </c>
      <c r="L50" s="2">
        <v>12.074999999999999</v>
      </c>
      <c r="M50" s="2">
        <v>12</v>
      </c>
      <c r="N50" s="2">
        <v>4.4034690744000002</v>
      </c>
      <c r="O50" s="2">
        <v>0</v>
      </c>
      <c r="P50" s="2">
        <v>19.481297126199998</v>
      </c>
      <c r="Q50" s="2">
        <v>3.4657315137999993</v>
      </c>
      <c r="R50" s="2">
        <v>426.30723982019998</v>
      </c>
      <c r="S50" s="2">
        <v>7.6470589000000005E-2</v>
      </c>
      <c r="T50" s="2">
        <v>0.382352945</v>
      </c>
      <c r="U50" s="2">
        <v>48.558823534000005</v>
      </c>
      <c r="V50" s="2">
        <v>0</v>
      </c>
      <c r="W50" s="2">
        <v>0</v>
      </c>
    </row>
    <row r="51" spans="1:23">
      <c r="A51" t="s">
        <v>96</v>
      </c>
      <c r="B51" s="2">
        <v>65.5</v>
      </c>
      <c r="C51" s="2">
        <v>14.938461541999999</v>
      </c>
      <c r="D51" s="2">
        <v>6.6428571435999997</v>
      </c>
      <c r="E51" s="2">
        <v>0</v>
      </c>
      <c r="F51" s="2">
        <v>1.4395604360000001</v>
      </c>
      <c r="G51" s="2">
        <v>2.6703296679999999</v>
      </c>
      <c r="H51" s="2">
        <v>0</v>
      </c>
      <c r="I51" s="2">
        <v>294.06944444409999</v>
      </c>
      <c r="J51" s="2">
        <v>13.1139529942</v>
      </c>
      <c r="K51" s="2">
        <v>7.1004273509000004</v>
      </c>
      <c r="L51" s="2">
        <v>2.6749999979999997</v>
      </c>
      <c r="M51" s="2">
        <v>2.4</v>
      </c>
      <c r="N51" s="2">
        <v>13.2615384568</v>
      </c>
      <c r="O51" s="2">
        <v>0</v>
      </c>
      <c r="P51" s="2">
        <v>38.0769230732</v>
      </c>
      <c r="Q51" s="2">
        <v>4.5738461507999997</v>
      </c>
      <c r="R51" s="2">
        <v>429.21538461440002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</row>
    <row r="52" spans="1:23">
      <c r="A52" t="s">
        <v>97</v>
      </c>
      <c r="B52" s="2">
        <v>63.125</v>
      </c>
      <c r="C52" s="2">
        <v>14.48828204935</v>
      </c>
      <c r="D52" s="2">
        <v>11.428571434</v>
      </c>
      <c r="E52" s="2">
        <v>0</v>
      </c>
      <c r="F52" s="2">
        <v>1.3246758185</v>
      </c>
      <c r="G52" s="2">
        <v>1.2396776546499999</v>
      </c>
      <c r="H52" s="2">
        <v>0</v>
      </c>
      <c r="I52" s="2">
        <v>118.15450000000001</v>
      </c>
      <c r="J52" s="2">
        <v>27.957807690649997</v>
      </c>
      <c r="K52" s="2">
        <v>4.4768846194999998</v>
      </c>
      <c r="L52" s="2">
        <v>10.0275</v>
      </c>
      <c r="M52" s="2">
        <v>10</v>
      </c>
      <c r="N52" s="2">
        <v>2.51971794425</v>
      </c>
      <c r="O52" s="2">
        <v>0</v>
      </c>
      <c r="P52" s="2">
        <v>6.6608974293000003</v>
      </c>
      <c r="Q52" s="2">
        <v>1.18162819655</v>
      </c>
      <c r="R52" s="2">
        <v>67.220512821299991</v>
      </c>
      <c r="S52" s="2">
        <v>8.0166667450000006E-2</v>
      </c>
      <c r="T52" s="2">
        <v>0.40150000399999997</v>
      </c>
      <c r="U52" s="2">
        <v>50.832833338149996</v>
      </c>
      <c r="V52" s="2">
        <v>6.916666665E-2</v>
      </c>
      <c r="W52" s="2">
        <v>6.3500000000000001E-2</v>
      </c>
    </row>
    <row r="53" spans="1:23">
      <c r="A53" t="s">
        <v>98</v>
      </c>
      <c r="B53" s="2">
        <v>57.625</v>
      </c>
      <c r="C53" s="2">
        <v>13.31546154145</v>
      </c>
      <c r="D53" s="2">
        <v>6.4285714285999997</v>
      </c>
      <c r="E53" s="2">
        <v>0</v>
      </c>
      <c r="F53" s="2">
        <v>1.5829175789999999</v>
      </c>
      <c r="G53" s="2">
        <v>1.8138534786500002</v>
      </c>
      <c r="H53" s="2">
        <v>0</v>
      </c>
      <c r="I53" s="2">
        <v>202.67037301510001</v>
      </c>
      <c r="J53" s="2">
        <v>9.1588577559999997</v>
      </c>
      <c r="K53" s="2">
        <v>4.8162130639000003</v>
      </c>
      <c r="L53" s="2">
        <v>3.4417857110000001</v>
      </c>
      <c r="M53" s="2">
        <v>0</v>
      </c>
      <c r="N53" s="2">
        <v>11.852538457350001</v>
      </c>
      <c r="O53" s="2">
        <v>0</v>
      </c>
      <c r="P53" s="2">
        <v>33.523827835900001</v>
      </c>
      <c r="Q53" s="2">
        <v>2.5536794846499999</v>
      </c>
      <c r="R53" s="2">
        <v>128.31919415090002</v>
      </c>
      <c r="S53" s="2">
        <v>1.6666665E-4</v>
      </c>
      <c r="T53" s="2">
        <v>1.5E-3</v>
      </c>
      <c r="U53" s="2">
        <v>3.283333335E-2</v>
      </c>
      <c r="V53" s="2">
        <v>6.916666665E-2</v>
      </c>
      <c r="W53" s="2">
        <v>2.2063571419999999</v>
      </c>
    </row>
    <row r="54" spans="1:23">
      <c r="A54" t="s">
        <v>99</v>
      </c>
      <c r="B54" s="2">
        <v>63.625</v>
      </c>
      <c r="C54" s="2">
        <v>14.569051280050001</v>
      </c>
      <c r="D54" s="2">
        <v>9.0714285759999989</v>
      </c>
      <c r="E54" s="2">
        <v>0</v>
      </c>
      <c r="F54" s="2">
        <v>1.7763241705999999</v>
      </c>
      <c r="G54" s="2">
        <v>3.0116556752500001</v>
      </c>
      <c r="H54" s="2">
        <v>0</v>
      </c>
      <c r="I54" s="2">
        <v>118.15450000000001</v>
      </c>
      <c r="J54" s="2">
        <v>28.073192306149998</v>
      </c>
      <c r="K54" s="2">
        <v>4.5461153887999997</v>
      </c>
      <c r="L54" s="2">
        <v>10.0275</v>
      </c>
      <c r="M54" s="2">
        <v>10</v>
      </c>
      <c r="N54" s="2">
        <v>2.5889487135500002</v>
      </c>
      <c r="O54" s="2">
        <v>0</v>
      </c>
      <c r="P54" s="2">
        <v>7.1224358907000012</v>
      </c>
      <c r="Q54" s="2">
        <v>1.20470511965</v>
      </c>
      <c r="R54" s="2">
        <v>69.712820513699995</v>
      </c>
      <c r="S54" s="2">
        <v>8.0166667450000006E-2</v>
      </c>
      <c r="T54" s="2">
        <v>0.40150000399999997</v>
      </c>
      <c r="U54" s="2">
        <v>50.832833338149996</v>
      </c>
      <c r="V54" s="2">
        <v>6.916666665E-2</v>
      </c>
      <c r="W54" s="2">
        <v>6.3500000000000001E-2</v>
      </c>
    </row>
    <row r="55" spans="1:23">
      <c r="A55" t="s">
        <v>100</v>
      </c>
      <c r="B55" s="2">
        <v>58.225000000000001</v>
      </c>
      <c r="C55" s="2">
        <v>13.31546154145</v>
      </c>
      <c r="D55" s="2">
        <v>4.7857142845999991</v>
      </c>
      <c r="E55" s="2">
        <v>0</v>
      </c>
      <c r="F55" s="2">
        <v>2.2257747219999997</v>
      </c>
      <c r="G55" s="2">
        <v>2.6709963356499999</v>
      </c>
      <c r="H55" s="2">
        <v>0</v>
      </c>
      <c r="I55" s="2">
        <v>202.88465872930001</v>
      </c>
      <c r="J55" s="2">
        <v>9.8445720418000011</v>
      </c>
      <c r="K55" s="2">
        <v>4.8590702065000002</v>
      </c>
      <c r="L55" s="2">
        <v>4.0846428536000001</v>
      </c>
      <c r="M55" s="2">
        <v>0</v>
      </c>
      <c r="N55" s="2">
        <v>11.852538457350001</v>
      </c>
      <c r="O55" s="2">
        <v>0</v>
      </c>
      <c r="P55" s="2">
        <v>34.809542121700005</v>
      </c>
      <c r="Q55" s="2">
        <v>2.5836794846499997</v>
      </c>
      <c r="R55" s="2">
        <v>136.8906227249</v>
      </c>
      <c r="S55" s="2">
        <v>1.6666665E-4</v>
      </c>
      <c r="T55" s="2">
        <v>1.5E-3</v>
      </c>
      <c r="U55" s="2">
        <v>3.283333335E-2</v>
      </c>
      <c r="V55" s="2">
        <v>6.916666665E-2</v>
      </c>
      <c r="W55" s="2">
        <v>2.6349285704000001</v>
      </c>
    </row>
    <row r="56" spans="1:23">
      <c r="A56" t="s">
        <v>101</v>
      </c>
      <c r="B56" s="2">
        <v>62.424999999999997</v>
      </c>
      <c r="C56" s="2">
        <v>12.61905128105</v>
      </c>
      <c r="D56" s="2">
        <v>8.7857142899999996</v>
      </c>
      <c r="E56" s="2">
        <v>0</v>
      </c>
      <c r="F56" s="2">
        <v>1.3477527426</v>
      </c>
      <c r="G56" s="2">
        <v>1.8687985332499999</v>
      </c>
      <c r="H56" s="2">
        <v>0</v>
      </c>
      <c r="I56" s="2">
        <v>118.15450000000001</v>
      </c>
      <c r="J56" s="2">
        <v>31.573192307149998</v>
      </c>
      <c r="K56" s="2">
        <v>1.8461153887999999</v>
      </c>
      <c r="L56" s="2">
        <v>11.227500000000001</v>
      </c>
      <c r="M56" s="2">
        <v>11.2</v>
      </c>
      <c r="N56" s="2">
        <v>2.9889487125500005</v>
      </c>
      <c r="O56" s="2">
        <v>0</v>
      </c>
      <c r="P56" s="2">
        <v>7.8224358897000004</v>
      </c>
      <c r="Q56" s="2">
        <v>1.3047051186499998</v>
      </c>
      <c r="R56" s="2">
        <v>74.812820513700004</v>
      </c>
      <c r="S56" s="2">
        <v>8.0166667450000006E-2</v>
      </c>
      <c r="T56" s="2">
        <v>0.40150000399999997</v>
      </c>
      <c r="U56" s="2">
        <v>50.832833338149996</v>
      </c>
      <c r="V56" s="2">
        <v>6.916666665E-2</v>
      </c>
      <c r="W56" s="2">
        <v>6.3500000000000001E-2</v>
      </c>
    </row>
    <row r="57" spans="1:23">
      <c r="A57" t="s">
        <v>102</v>
      </c>
      <c r="B57" s="2">
        <v>55.225000000000001</v>
      </c>
      <c r="C57" s="2">
        <v>13.342128208650001</v>
      </c>
      <c r="D57" s="2">
        <v>3.9285714266000005</v>
      </c>
      <c r="E57" s="2">
        <v>0</v>
      </c>
      <c r="F57" s="2">
        <v>2.7257747219999997</v>
      </c>
      <c r="G57" s="2">
        <v>2.9567106216499996</v>
      </c>
      <c r="H57" s="2">
        <v>0</v>
      </c>
      <c r="I57" s="2">
        <v>201.59894444410003</v>
      </c>
      <c r="J57" s="2">
        <v>10.9569529942</v>
      </c>
      <c r="K57" s="2">
        <v>1.7619273509</v>
      </c>
      <c r="L57" s="2">
        <v>4.2274999979999999</v>
      </c>
      <c r="M57" s="2">
        <v>4</v>
      </c>
      <c r="N57" s="2">
        <v>12.06587179015</v>
      </c>
      <c r="O57" s="2">
        <v>0</v>
      </c>
      <c r="P57" s="2">
        <v>27.468589739700001</v>
      </c>
      <c r="Q57" s="2">
        <v>2.4570128174499999</v>
      </c>
      <c r="R57" s="2">
        <v>85.382051280900015</v>
      </c>
      <c r="S57" s="2">
        <v>1.6666665E-4</v>
      </c>
      <c r="T57" s="2">
        <v>1.5E-3</v>
      </c>
      <c r="U57" s="2">
        <v>3.283333335E-2</v>
      </c>
      <c r="V57" s="2">
        <v>6.916666665E-2</v>
      </c>
      <c r="W57" s="2">
        <v>6.3500000000000001E-2</v>
      </c>
    </row>
    <row r="58" spans="1:23">
      <c r="A58" t="s">
        <v>103</v>
      </c>
      <c r="B58" s="2">
        <v>59.625</v>
      </c>
      <c r="C58" s="2">
        <v>11.739413272849999</v>
      </c>
      <c r="D58" s="2">
        <v>4.4285714289999998</v>
      </c>
      <c r="E58" s="2">
        <v>0</v>
      </c>
      <c r="F58" s="2">
        <v>3.3224780178000004</v>
      </c>
      <c r="G58" s="2">
        <v>3.1270402924499998</v>
      </c>
      <c r="H58" s="2">
        <v>0</v>
      </c>
      <c r="I58" s="2">
        <v>118.15450000000001</v>
      </c>
      <c r="J58" s="2">
        <v>29.662785068550001</v>
      </c>
      <c r="K58" s="2">
        <v>1.9022239853999998</v>
      </c>
      <c r="L58" s="2">
        <v>11.227500000000001</v>
      </c>
      <c r="M58" s="2">
        <v>11.2</v>
      </c>
      <c r="N58" s="2">
        <v>2.8803514279500004</v>
      </c>
      <c r="O58" s="2">
        <v>0</v>
      </c>
      <c r="P58" s="2">
        <v>8.2513951661</v>
      </c>
      <c r="Q58" s="2">
        <v>1.1861530836500001</v>
      </c>
      <c r="R58" s="2">
        <v>75.020965310099996</v>
      </c>
      <c r="S58" s="2">
        <v>6.3696079049999993E-2</v>
      </c>
      <c r="T58" s="2">
        <v>0.31914706199999998</v>
      </c>
      <c r="U58" s="2">
        <v>40.374009807749999</v>
      </c>
      <c r="V58" s="2">
        <v>6.916666665E-2</v>
      </c>
      <c r="W58" s="2">
        <v>6.3500000000000001E-2</v>
      </c>
    </row>
    <row r="59" spans="1:23">
      <c r="A59" t="s">
        <v>104</v>
      </c>
      <c r="B59" s="2">
        <v>62.75</v>
      </c>
      <c r="C59" s="2">
        <v>16.336038465074999</v>
      </c>
      <c r="D59" s="2">
        <v>9.0864285715999991</v>
      </c>
      <c r="E59" s="2">
        <v>0</v>
      </c>
      <c r="F59" s="2">
        <v>2.5037966983</v>
      </c>
      <c r="G59" s="2">
        <v>1.2231941394499999</v>
      </c>
      <c r="H59" s="2">
        <v>0</v>
      </c>
      <c r="I59" s="2">
        <v>201.607277777425</v>
      </c>
      <c r="J59" s="2">
        <v>12.547658122375001</v>
      </c>
      <c r="K59" s="2">
        <v>1.7513504277999998</v>
      </c>
      <c r="L59" s="2">
        <v>5.8441666646749999</v>
      </c>
      <c r="M59" s="2">
        <v>5.6</v>
      </c>
      <c r="N59" s="2">
        <v>12.046128200375</v>
      </c>
      <c r="O59" s="2">
        <v>0</v>
      </c>
      <c r="P59" s="2">
        <v>27.398076919225002</v>
      </c>
      <c r="Q59" s="2">
        <v>2.4508205097499998</v>
      </c>
      <c r="R59" s="2">
        <v>84.551282050100014</v>
      </c>
      <c r="S59" s="2">
        <v>1.6666665E-4</v>
      </c>
      <c r="T59" s="2">
        <v>1.5E-3</v>
      </c>
      <c r="U59" s="2">
        <v>3.283333335E-2</v>
      </c>
      <c r="V59" s="2">
        <v>6.916666665E-2</v>
      </c>
      <c r="W59" s="2">
        <v>0.16850000000000001</v>
      </c>
    </row>
    <row r="60" spans="1:23">
      <c r="A60" t="s">
        <v>105</v>
      </c>
      <c r="B60" s="2">
        <v>66.174999999999997</v>
      </c>
      <c r="C60" s="2">
        <v>12.571615393150001</v>
      </c>
      <c r="D60" s="2">
        <v>6.2142857160000009</v>
      </c>
      <c r="E60" s="2">
        <v>0</v>
      </c>
      <c r="F60" s="2">
        <v>2.8246758194999999</v>
      </c>
      <c r="G60" s="2">
        <v>2.6682490836499997</v>
      </c>
      <c r="H60" s="2">
        <v>0</v>
      </c>
      <c r="I60" s="2">
        <v>176.27950000000001</v>
      </c>
      <c r="J60" s="2">
        <v>26.191141034450006</v>
      </c>
      <c r="K60" s="2">
        <v>2.7768846154999998</v>
      </c>
      <c r="L60" s="2">
        <v>5.6274999999999995</v>
      </c>
      <c r="M60" s="2">
        <v>5.6</v>
      </c>
      <c r="N60" s="2">
        <v>3.5863846068499994</v>
      </c>
      <c r="O60" s="2">
        <v>0</v>
      </c>
      <c r="P60" s="2">
        <v>8.2275640934999981</v>
      </c>
      <c r="Q60" s="2">
        <v>0.94829486314999989</v>
      </c>
      <c r="R60" s="2">
        <v>100.92051282049999</v>
      </c>
      <c r="S60" s="2">
        <v>1.6666665E-4</v>
      </c>
      <c r="T60" s="2">
        <v>1.5E-3</v>
      </c>
      <c r="U60" s="2">
        <v>3.283333335E-2</v>
      </c>
      <c r="V60" s="2">
        <v>6.916666665E-2</v>
      </c>
      <c r="W60" s="2">
        <v>6.3500000000000001E-2</v>
      </c>
    </row>
    <row r="61" spans="1:23">
      <c r="A61" t="s">
        <v>106</v>
      </c>
      <c r="B61" s="2">
        <v>64.275000000000006</v>
      </c>
      <c r="C61" s="2">
        <v>16.18058974725</v>
      </c>
      <c r="D61" s="2">
        <v>6.7142857135999989</v>
      </c>
      <c r="E61" s="2">
        <v>0</v>
      </c>
      <c r="F61" s="2">
        <v>2.8939065887999997</v>
      </c>
      <c r="G61" s="2">
        <v>2.8413260064499997</v>
      </c>
      <c r="H61" s="2">
        <v>0</v>
      </c>
      <c r="I61" s="2">
        <v>259.72394444410003</v>
      </c>
      <c r="J61" s="2">
        <v>12.3261837632</v>
      </c>
      <c r="K61" s="2">
        <v>1.6234658122999999</v>
      </c>
      <c r="L61" s="2">
        <v>5.8274999979999995</v>
      </c>
      <c r="M61" s="2">
        <v>5.6</v>
      </c>
      <c r="N61" s="2">
        <v>11.927410251549999</v>
      </c>
      <c r="O61" s="2">
        <v>0</v>
      </c>
      <c r="P61" s="2">
        <v>26.545512816900004</v>
      </c>
      <c r="Q61" s="2">
        <v>2.4108589712499997</v>
      </c>
      <c r="R61" s="2">
        <v>80.397435896100006</v>
      </c>
      <c r="S61" s="2">
        <v>1.6666665E-4</v>
      </c>
      <c r="T61" s="2">
        <v>1.5E-3</v>
      </c>
      <c r="U61" s="2">
        <v>3.283333335E-2</v>
      </c>
      <c r="V61" s="2">
        <v>6.916666665E-2</v>
      </c>
      <c r="W61" s="2">
        <v>6.3500000000000001E-2</v>
      </c>
    </row>
    <row r="62" spans="1:23">
      <c r="A62" t="s">
        <v>107</v>
      </c>
      <c r="B62" s="2">
        <v>72.599999999999994</v>
      </c>
      <c r="C62" s="2">
        <v>12.778756417924999</v>
      </c>
      <c r="D62" s="2">
        <v>11.142857148000001</v>
      </c>
      <c r="E62" s="2">
        <v>0</v>
      </c>
      <c r="F62" s="2">
        <v>0.96508515979999987</v>
      </c>
      <c r="G62" s="2">
        <v>0.26956410212500004</v>
      </c>
      <c r="H62" s="2">
        <v>0</v>
      </c>
      <c r="I62" s="2">
        <v>176.26474999999999</v>
      </c>
      <c r="J62" s="2">
        <v>27.758711546949996</v>
      </c>
      <c r="K62" s="2">
        <v>2.7538269234000001</v>
      </c>
      <c r="L62" s="2">
        <v>8.4262499999999996</v>
      </c>
      <c r="M62" s="2">
        <v>8.4</v>
      </c>
      <c r="N62" s="2">
        <v>3.5252435820750003</v>
      </c>
      <c r="O62" s="2">
        <v>0</v>
      </c>
      <c r="P62" s="2">
        <v>8.4496794784499993</v>
      </c>
      <c r="Q62" s="2">
        <v>0.92927563312500006</v>
      </c>
      <c r="R62" s="2">
        <v>100.71410256445</v>
      </c>
      <c r="S62" s="2">
        <v>8.3333324999999999E-5</v>
      </c>
      <c r="T62" s="2">
        <v>7.5000000000000002E-4</v>
      </c>
      <c r="U62" s="2">
        <v>1.6416666675E-2</v>
      </c>
      <c r="V62" s="2">
        <v>3.4583333325E-2</v>
      </c>
      <c r="W62" s="2">
        <v>3.175E-2</v>
      </c>
    </row>
    <row r="63" spans="1:23">
      <c r="A63" t="s">
        <v>108</v>
      </c>
      <c r="B63" s="2">
        <v>69.599999999999994</v>
      </c>
      <c r="C63" s="2">
        <v>16.286448721925002</v>
      </c>
      <c r="D63" s="2">
        <v>9.3164835180000001</v>
      </c>
      <c r="E63" s="2">
        <v>0</v>
      </c>
      <c r="F63" s="2">
        <v>1.3936565888000001</v>
      </c>
      <c r="G63" s="2">
        <v>1.9838498151250001</v>
      </c>
      <c r="H63" s="2">
        <v>0</v>
      </c>
      <c r="I63" s="2">
        <v>259.68868162410001</v>
      </c>
      <c r="J63" s="2">
        <v>15.080933763199999</v>
      </c>
      <c r="K63" s="2">
        <v>1.5927158123</v>
      </c>
      <c r="L63" s="2">
        <v>8.6262499980000005</v>
      </c>
      <c r="M63" s="2">
        <v>8.4</v>
      </c>
      <c r="N63" s="2">
        <v>11.820628200074998</v>
      </c>
      <c r="O63" s="2">
        <v>0</v>
      </c>
      <c r="P63" s="2">
        <v>27.326602560449999</v>
      </c>
      <c r="Q63" s="2">
        <v>2.5433269195249997</v>
      </c>
      <c r="R63" s="2">
        <v>79.601282050050003</v>
      </c>
      <c r="S63" s="2">
        <v>8.3333324999999999E-5</v>
      </c>
      <c r="T63" s="2">
        <v>7.5000000000000002E-4</v>
      </c>
      <c r="U63" s="2">
        <v>1.6416666675E-2</v>
      </c>
      <c r="V63" s="2">
        <v>3.4583333325E-2</v>
      </c>
      <c r="W63" s="2">
        <v>3.175E-2</v>
      </c>
    </row>
    <row r="64" spans="1:23">
      <c r="A64" t="s">
        <v>109</v>
      </c>
      <c r="B64" s="2">
        <v>57.2</v>
      </c>
      <c r="C64" s="2">
        <v>12.400000008000001</v>
      </c>
      <c r="D64" s="2">
        <v>8.7857142899999996</v>
      </c>
      <c r="E64" s="2">
        <v>0</v>
      </c>
      <c r="F64" s="2">
        <v>1.285714281</v>
      </c>
      <c r="G64" s="2">
        <v>1.714285713</v>
      </c>
      <c r="H64" s="2">
        <v>0</v>
      </c>
      <c r="I64" s="2">
        <v>298.375</v>
      </c>
      <c r="J64" s="2">
        <v>22.975000007950001</v>
      </c>
      <c r="K64" s="2">
        <v>2.6</v>
      </c>
      <c r="L64" s="2">
        <v>2.8250000000000002</v>
      </c>
      <c r="M64" s="2">
        <v>2.8</v>
      </c>
      <c r="N64" s="2">
        <v>3.199999992</v>
      </c>
      <c r="O64" s="2">
        <v>0</v>
      </c>
      <c r="P64" s="2">
        <v>6.1999999920000004</v>
      </c>
      <c r="Q64" s="2">
        <v>0.79999999199999994</v>
      </c>
      <c r="R64" s="2">
        <v>91.8</v>
      </c>
      <c r="S64" s="2">
        <v>0</v>
      </c>
      <c r="T64" s="2">
        <v>0</v>
      </c>
      <c r="U64" s="2">
        <v>0</v>
      </c>
      <c r="V64" s="2">
        <v>0</v>
      </c>
      <c r="W64" s="2">
        <v>0</v>
      </c>
    </row>
    <row r="65" spans="1:23">
      <c r="A65" t="s">
        <v>110</v>
      </c>
      <c r="B65" s="2">
        <v>62.1</v>
      </c>
      <c r="C65" s="2">
        <v>16.907692312000002</v>
      </c>
      <c r="D65" s="2">
        <v>9.4593406609999988</v>
      </c>
      <c r="E65" s="2">
        <v>0</v>
      </c>
      <c r="F65" s="2">
        <v>1.499999995</v>
      </c>
      <c r="G65" s="2">
        <v>2.285714284</v>
      </c>
      <c r="H65" s="2">
        <v>0</v>
      </c>
      <c r="I65" s="2">
        <v>328.61143162409996</v>
      </c>
      <c r="J65" s="2">
        <v>14.497222224199998</v>
      </c>
      <c r="K65" s="2">
        <v>1.6388888889</v>
      </c>
      <c r="L65" s="2">
        <v>5.824999998</v>
      </c>
      <c r="M65" s="2">
        <v>5.6</v>
      </c>
      <c r="N65" s="2">
        <v>11.495384609999999</v>
      </c>
      <c r="O65" s="2">
        <v>0</v>
      </c>
      <c r="P65" s="2">
        <v>25.676923074000001</v>
      </c>
      <c r="Q65" s="2">
        <v>2.4140512783999997</v>
      </c>
      <c r="R65" s="2">
        <v>73.687179485600012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</row>
    <row r="66" spans="1:23">
      <c r="A66" t="s">
        <v>111</v>
      </c>
      <c r="B66" s="2">
        <v>61.95</v>
      </c>
      <c r="C66" s="2">
        <v>12</v>
      </c>
      <c r="D66" s="2">
        <v>8.7857142899999996</v>
      </c>
      <c r="E66" s="2">
        <v>0</v>
      </c>
      <c r="F66" s="2">
        <v>1.285714281</v>
      </c>
      <c r="G66" s="2">
        <v>1.714285713</v>
      </c>
      <c r="H66" s="2">
        <v>0</v>
      </c>
      <c r="I66" s="2">
        <v>182.125</v>
      </c>
      <c r="J66" s="2">
        <v>27.308333341950004</v>
      </c>
      <c r="K66" s="2">
        <v>3.6666666579999996</v>
      </c>
      <c r="L66" s="2">
        <v>5.625</v>
      </c>
      <c r="M66" s="2">
        <v>5.6</v>
      </c>
      <c r="N66" s="2">
        <v>2.6</v>
      </c>
      <c r="O66" s="2">
        <v>0</v>
      </c>
      <c r="P66" s="2">
        <v>0.6</v>
      </c>
      <c r="Q66" s="2">
        <v>0.624</v>
      </c>
      <c r="R66" s="2">
        <v>3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</row>
    <row r="67" spans="1:23">
      <c r="A67" t="s">
        <v>112</v>
      </c>
      <c r="B67" s="2">
        <v>60.95</v>
      </c>
      <c r="C67" s="2">
        <v>13.807692309999998</v>
      </c>
      <c r="D67" s="2">
        <v>9.1593406609999981</v>
      </c>
      <c r="E67" s="2">
        <v>0</v>
      </c>
      <c r="F67" s="2">
        <v>1.499999995</v>
      </c>
      <c r="G67" s="2">
        <v>2.285714284</v>
      </c>
      <c r="H67" s="2">
        <v>0</v>
      </c>
      <c r="I67" s="2">
        <v>227.41559829249999</v>
      </c>
      <c r="J67" s="2">
        <v>21.0972222282</v>
      </c>
      <c r="K67" s="2">
        <v>2.6388888828999999</v>
      </c>
      <c r="L67" s="2">
        <v>5.625</v>
      </c>
      <c r="M67" s="2">
        <v>5.6</v>
      </c>
      <c r="N67" s="2">
        <v>6.4153846139999997</v>
      </c>
      <c r="O67" s="2">
        <v>0</v>
      </c>
      <c r="P67" s="2">
        <v>11.676923076</v>
      </c>
      <c r="Q67" s="2">
        <v>2.0473846139999998</v>
      </c>
      <c r="R67" s="2">
        <v>4.1538461519999998</v>
      </c>
      <c r="S67" s="2">
        <v>0</v>
      </c>
      <c r="T67" s="2">
        <v>0</v>
      </c>
      <c r="U67" s="2">
        <v>0</v>
      </c>
      <c r="V67" s="2">
        <v>0</v>
      </c>
      <c r="W67" s="2">
        <v>0</v>
      </c>
    </row>
    <row r="68" spans="1:23">
      <c r="A68" t="s">
        <v>113</v>
      </c>
      <c r="B68" s="2">
        <v>58.225000000000001</v>
      </c>
      <c r="C68" s="2">
        <v>12.700000001999999</v>
      </c>
      <c r="D68" s="2">
        <v>6.6285714295999991</v>
      </c>
      <c r="E68" s="2">
        <v>0</v>
      </c>
      <c r="F68" s="2">
        <v>1.71428571</v>
      </c>
      <c r="G68" s="2">
        <v>3.428571426</v>
      </c>
      <c r="H68" s="2">
        <v>0</v>
      </c>
      <c r="I68" s="2">
        <v>125.04444444609999</v>
      </c>
      <c r="J68" s="2">
        <v>20.423888894899996</v>
      </c>
      <c r="K68" s="2">
        <v>2.5188888828999998</v>
      </c>
      <c r="L68" s="2">
        <v>6.0250000000000004</v>
      </c>
      <c r="M68" s="2">
        <v>6</v>
      </c>
      <c r="N68" s="2">
        <v>5.7999999987999997</v>
      </c>
      <c r="O68" s="2">
        <v>0</v>
      </c>
      <c r="P68" s="2">
        <v>9.8399999991999998</v>
      </c>
      <c r="Q68" s="2">
        <v>1.8319999988</v>
      </c>
      <c r="R68" s="2">
        <v>2.1999999984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</row>
    <row r="69" spans="1:23">
      <c r="A69" t="s">
        <v>114</v>
      </c>
      <c r="B69" s="2">
        <v>58.225000000000001</v>
      </c>
      <c r="C69" s="2">
        <v>12.700000001999999</v>
      </c>
      <c r="D69" s="2">
        <v>6.6285714295999991</v>
      </c>
      <c r="E69" s="2">
        <v>0</v>
      </c>
      <c r="F69" s="2">
        <v>1.71428571</v>
      </c>
      <c r="G69" s="2">
        <v>3.428571426</v>
      </c>
      <c r="H69" s="2">
        <v>0</v>
      </c>
      <c r="I69" s="2">
        <v>169.04444444410001</v>
      </c>
      <c r="J69" s="2">
        <v>15.823888892899998</v>
      </c>
      <c r="K69" s="2">
        <v>1.7188888849000001</v>
      </c>
      <c r="L69" s="2">
        <v>6.0250000000000004</v>
      </c>
      <c r="M69" s="2">
        <v>6</v>
      </c>
      <c r="N69" s="2">
        <v>10.5999999988</v>
      </c>
      <c r="O69" s="2">
        <v>0</v>
      </c>
      <c r="P69" s="2">
        <v>9.8399999991999998</v>
      </c>
      <c r="Q69" s="2">
        <v>2.1480000007999998</v>
      </c>
      <c r="R69" s="2">
        <v>7.1999999963999999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</row>
    <row r="70" spans="1:23">
      <c r="A70" t="s">
        <v>115</v>
      </c>
      <c r="B70" s="2">
        <v>49.325000000000003</v>
      </c>
      <c r="C70" s="2">
        <v>12.600000002</v>
      </c>
      <c r="D70" s="2">
        <v>4.2814285712000002</v>
      </c>
      <c r="E70" s="2">
        <v>0</v>
      </c>
      <c r="F70" s="2">
        <v>1.4285714255999999</v>
      </c>
      <c r="G70" s="2">
        <v>3.1999999976</v>
      </c>
      <c r="H70" s="2">
        <v>0</v>
      </c>
      <c r="I70" s="2">
        <v>169.75873015810001</v>
      </c>
      <c r="J70" s="2">
        <v>8.9829365102000001</v>
      </c>
      <c r="K70" s="2">
        <v>1.6817460289000004</v>
      </c>
      <c r="L70" s="2">
        <v>2.3745238066000001</v>
      </c>
      <c r="M70" s="2">
        <v>0</v>
      </c>
      <c r="N70" s="2">
        <v>11.4466666634</v>
      </c>
      <c r="O70" s="2">
        <v>0</v>
      </c>
      <c r="P70" s="2">
        <v>26.525714285200003</v>
      </c>
      <c r="Q70" s="2">
        <v>2.3106666653999999</v>
      </c>
      <c r="R70" s="2">
        <v>77.104761911800011</v>
      </c>
      <c r="S70" s="2">
        <v>0</v>
      </c>
      <c r="T70" s="2">
        <v>0</v>
      </c>
      <c r="U70" s="2">
        <v>0</v>
      </c>
      <c r="V70" s="2">
        <v>0</v>
      </c>
      <c r="W70" s="2">
        <v>1.4285714279999999</v>
      </c>
    </row>
    <row r="71" spans="1:23">
      <c r="A71" t="s">
        <v>116</v>
      </c>
      <c r="B71" s="2">
        <v>53.875</v>
      </c>
      <c r="C71" s="2">
        <v>9.1636363616000001</v>
      </c>
      <c r="D71" s="2">
        <v>2.5454545424000004</v>
      </c>
      <c r="E71" s="2">
        <v>0</v>
      </c>
      <c r="F71" s="2">
        <v>3.0545454575999997</v>
      </c>
      <c r="G71" s="2">
        <v>3.0545454575999997</v>
      </c>
      <c r="H71" s="2">
        <v>0</v>
      </c>
      <c r="I71" s="2">
        <v>188.7038961044</v>
      </c>
      <c r="J71" s="2">
        <v>23.332619056100004</v>
      </c>
      <c r="K71" s="2">
        <v>3.5371428475999998</v>
      </c>
      <c r="L71" s="2">
        <v>3.8821428556000002</v>
      </c>
      <c r="M71" s="2">
        <v>0</v>
      </c>
      <c r="N71" s="2">
        <v>2.4</v>
      </c>
      <c r="O71" s="2">
        <v>0</v>
      </c>
      <c r="P71" s="2">
        <v>7.954285714800001</v>
      </c>
      <c r="Q71" s="2">
        <v>0.75600000000000001</v>
      </c>
      <c r="R71" s="2">
        <v>52.628571444000002</v>
      </c>
      <c r="S71" s="2">
        <v>0</v>
      </c>
      <c r="T71" s="2">
        <v>0</v>
      </c>
      <c r="U71" s="2">
        <v>0</v>
      </c>
      <c r="V71" s="2">
        <v>0</v>
      </c>
      <c r="W71" s="2">
        <v>2.5714285703999997</v>
      </c>
    </row>
    <row r="72" spans="1:23">
      <c r="A72" t="s">
        <v>117</v>
      </c>
      <c r="B72" s="2">
        <v>53.075000000000003</v>
      </c>
      <c r="C72" s="2">
        <v>9.8636363635999995</v>
      </c>
      <c r="D72" s="2">
        <v>2.7454545400000003</v>
      </c>
      <c r="E72" s="2">
        <v>0</v>
      </c>
      <c r="F72" s="2">
        <v>3.0545454575999997</v>
      </c>
      <c r="G72" s="2">
        <v>3.0545454575999997</v>
      </c>
      <c r="H72" s="2">
        <v>0</v>
      </c>
      <c r="I72" s="2">
        <v>270.70389610399997</v>
      </c>
      <c r="J72" s="2">
        <v>14.132619052100001</v>
      </c>
      <c r="K72" s="2">
        <v>1.9371428516000002</v>
      </c>
      <c r="L72" s="2">
        <v>3.8821428556000002</v>
      </c>
      <c r="M72" s="2">
        <v>0</v>
      </c>
      <c r="N72" s="2">
        <v>10.5999999988</v>
      </c>
      <c r="O72" s="2">
        <v>0</v>
      </c>
      <c r="P72" s="2">
        <v>17.554285714000002</v>
      </c>
      <c r="Q72" s="2">
        <v>2.3280000007999999</v>
      </c>
      <c r="R72" s="2">
        <v>58.628571440400002</v>
      </c>
      <c r="S72" s="2">
        <v>0</v>
      </c>
      <c r="T72" s="2">
        <v>0</v>
      </c>
      <c r="U72" s="2">
        <v>0</v>
      </c>
      <c r="V72" s="2">
        <v>0</v>
      </c>
      <c r="W72" s="2">
        <v>2.5714285703999997</v>
      </c>
    </row>
    <row r="73" spans="1:23">
      <c r="A73" t="s">
        <v>118</v>
      </c>
      <c r="B73" s="2">
        <v>58.9</v>
      </c>
      <c r="C73" s="2">
        <v>12.450000002399999</v>
      </c>
      <c r="D73" s="2">
        <v>5.9285714314</v>
      </c>
      <c r="E73" s="2">
        <v>0</v>
      </c>
      <c r="F73" s="2">
        <v>1.2428571397999999</v>
      </c>
      <c r="G73" s="2">
        <v>2.2142857121999997</v>
      </c>
      <c r="H73" s="2">
        <v>0</v>
      </c>
      <c r="I73" s="2">
        <v>387.60793650545003</v>
      </c>
      <c r="J73" s="2">
        <v>19.652063496549999</v>
      </c>
      <c r="K73" s="2">
        <v>3.2565873006499997</v>
      </c>
      <c r="L73" s="2">
        <v>4.0821428535999997</v>
      </c>
      <c r="M73" s="2">
        <v>0</v>
      </c>
      <c r="N73" s="2">
        <v>8.5999999955999993</v>
      </c>
      <c r="O73" s="2">
        <v>0</v>
      </c>
      <c r="P73" s="2">
        <v>28.454285710600004</v>
      </c>
      <c r="Q73" s="2">
        <v>1.3399999972000001</v>
      </c>
      <c r="R73" s="2">
        <v>164.52857144479998</v>
      </c>
      <c r="S73" s="2">
        <v>0</v>
      </c>
      <c r="T73" s="2">
        <v>0</v>
      </c>
      <c r="U73" s="2">
        <v>0</v>
      </c>
      <c r="V73" s="2">
        <v>0</v>
      </c>
      <c r="W73" s="2">
        <v>2.5714285703999997</v>
      </c>
    </row>
    <row r="74" spans="1:23">
      <c r="A74" t="s">
        <v>119</v>
      </c>
      <c r="B74" s="2">
        <v>50.524999999999999</v>
      </c>
      <c r="C74" s="2">
        <v>10.6</v>
      </c>
      <c r="D74" s="2">
        <v>5.9142857174000003</v>
      </c>
      <c r="E74" s="2">
        <v>0</v>
      </c>
      <c r="F74" s="2">
        <v>1.4714285675999998</v>
      </c>
      <c r="G74" s="2">
        <v>2.8571428550000002</v>
      </c>
      <c r="H74" s="2">
        <v>0</v>
      </c>
      <c r="I74" s="2">
        <v>144.44722222224999</v>
      </c>
      <c r="J74" s="2">
        <v>34.752063498550001</v>
      </c>
      <c r="K74" s="2">
        <v>9.9444444450000002E-2</v>
      </c>
      <c r="L74" s="2">
        <v>16.024999999999999</v>
      </c>
      <c r="M74" s="2">
        <v>16</v>
      </c>
      <c r="N74" s="2">
        <v>1.6285714188</v>
      </c>
      <c r="O74" s="2">
        <v>0</v>
      </c>
      <c r="P74" s="2">
        <v>0.24</v>
      </c>
      <c r="Q74" s="2">
        <v>1.0585714188000002</v>
      </c>
      <c r="R74" s="2">
        <v>25.6285714188</v>
      </c>
      <c r="S74" s="2">
        <v>0.20357141880000001</v>
      </c>
      <c r="T74" s="2">
        <v>1.5471428603999997</v>
      </c>
      <c r="U74" s="2">
        <v>65.142857139599997</v>
      </c>
      <c r="V74" s="2">
        <v>0</v>
      </c>
      <c r="W74" s="2">
        <v>0</v>
      </c>
    </row>
    <row r="75" spans="1:23">
      <c r="A75" t="s">
        <v>120</v>
      </c>
      <c r="B75" s="2">
        <v>55.05</v>
      </c>
      <c r="C75" s="2">
        <v>13.703666665250001</v>
      </c>
      <c r="D75" s="2">
        <v>6.5800000012000002</v>
      </c>
      <c r="E75" s="2">
        <v>0</v>
      </c>
      <c r="F75" s="2">
        <v>1.8004999989999999</v>
      </c>
      <c r="G75" s="2">
        <v>1.7006666670499999</v>
      </c>
      <c r="H75" s="2">
        <v>0</v>
      </c>
      <c r="I75" s="2">
        <v>246.95449999840002</v>
      </c>
      <c r="J75" s="2">
        <v>10.375500003399999</v>
      </c>
      <c r="K75" s="2">
        <v>2.5748333313999998</v>
      </c>
      <c r="L75" s="2">
        <v>0.2808333308</v>
      </c>
      <c r="M75" s="2">
        <v>0</v>
      </c>
      <c r="N75" s="2">
        <v>8.5376666647499988</v>
      </c>
      <c r="O75" s="2">
        <v>0</v>
      </c>
      <c r="P75" s="2">
        <v>21.011666665299998</v>
      </c>
      <c r="Q75" s="2">
        <v>1.13889999965</v>
      </c>
      <c r="R75" s="2">
        <v>79.933333334500006</v>
      </c>
      <c r="S75" s="2">
        <v>1.6666665E-4</v>
      </c>
      <c r="T75" s="2">
        <v>1.5E-3</v>
      </c>
      <c r="U75" s="2">
        <v>3.283333335E-2</v>
      </c>
      <c r="V75" s="2">
        <v>6.916666665E-2</v>
      </c>
      <c r="W75" s="2">
        <v>6.3500000000000001E-2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RecXIngred</vt:lpstr>
      <vt:lpstr>IngredXNut</vt:lpstr>
      <vt:lpstr>CostXIngred</vt:lpstr>
      <vt:lpstr>CostXRecipe</vt:lpstr>
      <vt:lpstr>RecXNut(Derived)</vt:lpstr>
      <vt:lpstr>RecXNut3rd</vt:lpstr>
      <vt:lpstr>RecXNut4ths(ImproveUpdating)</vt:lpstr>
      <vt:lpstr>RecXNut5ths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Max Dick.</cp:lastModifiedBy>
  <dcterms:created xsi:type="dcterms:W3CDTF">2024-04-17T23:03:37Z</dcterms:created>
  <dcterms:modified xsi:type="dcterms:W3CDTF">2024-04-19T15:49:32Z</dcterms:modified>
</cp:coreProperties>
</file>